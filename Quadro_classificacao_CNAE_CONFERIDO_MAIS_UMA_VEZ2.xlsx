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/>
  <xr:revisionPtr revIDLastSave="0" documentId="8_{AF07F62C-2125-4533-8BBC-852AD4612F95}" xr6:coauthVersionLast="47" xr6:coauthVersionMax="47" xr10:uidLastSave="{00000000-0000-0000-0000-000000000000}"/>
  <bookViews>
    <workbookView xWindow="-108" yWindow="-108" windowWidth="23256" windowHeight="12576" firstSheet="10" activeTab="13" xr2:uid="{00000000-000D-0000-FFFF-FFFF00000000}"/>
  </bookViews>
  <sheets>
    <sheet name="LEIA_PRIMEIRO" sheetId="1" r:id="rId1"/>
    <sheet name="Mapa_CNAE" sheetId="2" r:id="rId2"/>
    <sheet name="Industria_detalhada" sheetId="3" r:id="rId3"/>
    <sheet name="Correspondencia_NACE_CNAE" sheetId="4" r:id="rId4"/>
    <sheet name="Servicos_KIS_LKIS" sheetId="5" r:id="rId5"/>
    <sheet name="Recursos_naturais" sheetId="6" r:id="rId6"/>
    <sheet name="Fontes_auditoria" sheetId="7" r:id="rId7"/>
    <sheet name="Controle_auditoria" sheetId="8" r:id="rId8"/>
    <sheet name="Grupos_mistos_auditoria" sheetId="9" r:id="rId9"/>
    <sheet name="Denominacoes_IBGE" sheetId="10" r:id="rId10"/>
    <sheet name="Variantes_IBGE" sheetId="11" r:id="rId11"/>
    <sheet name="Reauditoria" sheetId="12" r:id="rId12"/>
    <sheet name="Crosswalk_completo_mistos" sheetId="13" r:id="rId13"/>
    <sheet name="Diferencas_CGEE_TCC" sheetId="1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8" l="1"/>
  <c r="B9" i="8"/>
  <c r="B8" i="8"/>
  <c r="B7" i="8"/>
  <c r="B6" i="8"/>
  <c r="B4" i="8"/>
  <c r="B2" i="8"/>
</calcChain>
</file>

<file path=xl/sharedStrings.xml><?xml version="1.0" encoding="utf-8"?>
<sst xmlns="http://schemas.openxmlformats.org/spreadsheetml/2006/main" count="2405" uniqueCount="783">
  <si>
    <t>CLASSIFICAÇÃO CNAE</t>
  </si>
  <si>
    <t>Item</t>
  </si>
  <si>
    <t>Status</t>
  </si>
  <si>
    <t>O que foi validado</t>
  </si>
  <si>
    <t>Fonte/critério</t>
  </si>
  <si>
    <t>Pendência</t>
  </si>
  <si>
    <t>Observação</t>
  </si>
  <si>
    <t>Estrutura CNAE</t>
  </si>
  <si>
    <t>VALIDADO</t>
  </si>
  <si>
    <t>87 divisões CNAE 2.0, códigos e denominações</t>
  </si>
  <si>
    <t>IBGE/CONCLA</t>
  </si>
  <si>
    <t>0</t>
  </si>
  <si>
    <t>Denominações do mapa seguem a tabela de estrutura detalhada da CNAE 2.0, 2ª ed. (IBGE, 2015). Quando outra página/versão oficial usa redação ou ortografia diferente, a variante é registrada na aba Variantes_IBGE.</t>
  </si>
  <si>
    <t>Indústria</t>
  </si>
  <si>
    <t>Taxonomia Eurostat jan/2009 em nível de 3 dígitos traduzida para grupos CNAE equivalentes</t>
  </si>
  <si>
    <t>Eurostat 2009 + IBGE + CGEE</t>
  </si>
  <si>
    <t>Serviços</t>
  </si>
  <si>
    <t>KIS/LKIS e seis subgrupos em nível de divisão</t>
  </si>
  <si>
    <t>Eurostat jan/2009 + CGEE</t>
  </si>
  <si>
    <t>Sem necessidade de detalhamento abaixo de 2 dígitos.</t>
  </si>
  <si>
    <t>Recursos naturais</t>
  </si>
  <si>
    <t>Seções/divisões usadas pelo CGEE na Tabela 7.12</t>
  </si>
  <si>
    <t>CGEE 2016, Tabela 7.12</t>
  </si>
  <si>
    <t>Uso no TCC</t>
  </si>
  <si>
    <t>DECISÃO METODOLÓGICA</t>
  </si>
  <si>
    <t>Aplicar os rótulos setoriais ao universo de vínculos formais analisado</t>
  </si>
  <si>
    <t>Decisão do pesquisador, a ser declarada</t>
  </si>
  <si>
    <t>IMPORTANTE: não usar igualdade numérica NACE↔CNAE nos grupos. A tradução foi feita pela atividade econômica equivalente e documentada na aba Correspondencia_NACE_CNAE.</t>
  </si>
  <si>
    <t>CNAE 2 dígitos</t>
  </si>
  <si>
    <t>Seção</t>
  </si>
  <si>
    <t>Denominação da seção (CNAE 2.0)</t>
  </si>
  <si>
    <t>Denominação oficial da divisão</t>
  </si>
  <si>
    <t>Intensidade tecnológica — indústria</t>
  </si>
  <si>
    <t>Nível mínimo necessário</t>
  </si>
  <si>
    <t>Regra industrial</t>
  </si>
  <si>
    <t>Intensidade de conhecimento — serviços</t>
  </si>
  <si>
    <t>Subgrupo de serviços</t>
  </si>
  <si>
    <t>Baseada em recursos naturais/primários?</t>
  </si>
  <si>
    <t>Fontes da regra</t>
  </si>
  <si>
    <t>01</t>
  </si>
  <si>
    <t>A</t>
  </si>
  <si>
    <t>Agricultura, pecuária, produção florestal, pesca e aquicultura</t>
  </si>
  <si>
    <t>Agricultura, pecuária e serviços relacionados</t>
  </si>
  <si>
    <t>Não se aplica</t>
  </si>
  <si>
    <t>Fora da indústria de transformação</t>
  </si>
  <si>
    <t>Sim</t>
  </si>
  <si>
    <t>02</t>
  </si>
  <si>
    <t>Produção florestal</t>
  </si>
  <si>
    <t>03</t>
  </si>
  <si>
    <t>Pesca e aquicultura</t>
  </si>
  <si>
    <t>05</t>
  </si>
  <si>
    <t>B</t>
  </si>
  <si>
    <t>Indústrias extrativas</t>
  </si>
  <si>
    <t>Extração de carvão mineral</t>
  </si>
  <si>
    <t>06</t>
  </si>
  <si>
    <t>Extração de petróleo e gás natural</t>
  </si>
  <si>
    <t>07</t>
  </si>
  <si>
    <t>Extração de minerais metálicos</t>
  </si>
  <si>
    <t>08</t>
  </si>
  <si>
    <t>Extração de minerais não-metálicos</t>
  </si>
  <si>
    <t>09</t>
  </si>
  <si>
    <t>Atividades de apoio à extração de minerais</t>
  </si>
  <si>
    <t>10</t>
  </si>
  <si>
    <t>C</t>
  </si>
  <si>
    <t>Indústrias de transformação</t>
  </si>
  <si>
    <t>Fabricação de produtos alimentícios</t>
  </si>
  <si>
    <t>Baixa tecnologia</t>
  </si>
  <si>
    <t>Divisão CNAE (2 dígitos)</t>
  </si>
  <si>
    <t>Classificação direta da divisão</t>
  </si>
  <si>
    <t>11</t>
  </si>
  <si>
    <t>Fabricação de bebidas</t>
  </si>
  <si>
    <t>12</t>
  </si>
  <si>
    <t>Fabricação de produtos do fumo</t>
  </si>
  <si>
    <t>13</t>
  </si>
  <si>
    <t>Fabricação de produtos têxteis</t>
  </si>
  <si>
    <t>Não</t>
  </si>
  <si>
    <t>14</t>
  </si>
  <si>
    <t>Confecção de artigos do vestuário e acessórios</t>
  </si>
  <si>
    <t>15</t>
  </si>
  <si>
    <t>Preparação de couros e fabricação de artefatos de couro, artigos para viagem e calçados</t>
  </si>
  <si>
    <t>16</t>
  </si>
  <si>
    <t>Fabricação de produtos de madeira</t>
  </si>
  <si>
    <t>17</t>
  </si>
  <si>
    <t>Fabricação de celulose, papel e produtos de papel</t>
  </si>
  <si>
    <t>18</t>
  </si>
  <si>
    <t>Impressão e reprodução de gravações</t>
  </si>
  <si>
    <t>MISTA — depende do grupo CNAE</t>
  </si>
  <si>
    <t>Grupo CNAE (3 dígitos)</t>
  </si>
  <si>
    <t>18.3 = Média-baixa; demais grupos da divisão 18 = Baixa</t>
  </si>
  <si>
    <t>VALIDADO — requer grupo CNAE</t>
  </si>
  <si>
    <t>19</t>
  </si>
  <si>
    <t>Fabricação de coque, de produtos derivados do petróleo e de biocombustíveis</t>
  </si>
  <si>
    <t>Média-baixa tecnologia</t>
  </si>
  <si>
    <t>20</t>
  </si>
  <si>
    <t>Fabricação de produtos químicos</t>
  </si>
  <si>
    <t>Média-alta tecnologia</t>
  </si>
  <si>
    <t>21</t>
  </si>
  <si>
    <t>Fabricação de produtos farmoquímicos e farmacêuticos</t>
  </si>
  <si>
    <t>Alta tecnologia</t>
  </si>
  <si>
    <t>22</t>
  </si>
  <si>
    <t>Fabricação de produtos de borracha e de material plástico</t>
  </si>
  <si>
    <t>23</t>
  </si>
  <si>
    <t>Fabricação de produtos de minerais não-metálicos</t>
  </si>
  <si>
    <t>24</t>
  </si>
  <si>
    <t>Metalurgia</t>
  </si>
  <si>
    <t>25</t>
  </si>
  <si>
    <t>Fabricação de produtos de metal, exceto máquinas e equipamentos</t>
  </si>
  <si>
    <t>25.5 = Média-alta; demais grupos da divisão 25 = Média-baixa</t>
  </si>
  <si>
    <t>26</t>
  </si>
  <si>
    <t>Fabricação de equipamentos de informática, produtos eletrônicos e ópticos</t>
  </si>
  <si>
    <t>27</t>
  </si>
  <si>
    <t>Fabricação de máquinas, aparelhos e materiais elétricos</t>
  </si>
  <si>
    <t>28</t>
  </si>
  <si>
    <t>Fabricação de máquinas e equipamentos</t>
  </si>
  <si>
    <t>29</t>
  </si>
  <si>
    <t>Fabricação de veículos automotores, reboques e carrocerias</t>
  </si>
  <si>
    <t>30</t>
  </si>
  <si>
    <t>Fabricação de outros equipamentos de transporte, exceto veículos automotores</t>
  </si>
  <si>
    <t>30.4 = Alta; 30.1 = Média-baixa; demais grupos da divisão 30 = Média-alta</t>
  </si>
  <si>
    <t>31</t>
  </si>
  <si>
    <t>Fabricação de móveis</t>
  </si>
  <si>
    <t>32</t>
  </si>
  <si>
    <t>Fabricação de produtos diversos</t>
  </si>
  <si>
    <t>32.5 = Média-alta; demais grupos da divisão 32 = Baixa</t>
  </si>
  <si>
    <t>33</t>
  </si>
  <si>
    <t>Manutenção, reparação e instalação de máquinas e equipamentos</t>
  </si>
  <si>
    <t>35</t>
  </si>
  <si>
    <t>D</t>
  </si>
  <si>
    <t>Eletricidade e gás</t>
  </si>
  <si>
    <t>Eletricidade, gás e outras utilidades</t>
  </si>
  <si>
    <t>36</t>
  </si>
  <si>
    <t>E</t>
  </si>
  <si>
    <t>Água, esgoto, atividades de gestão de resíduos e descontaminação</t>
  </si>
  <si>
    <t>Captação, tratamento e distribuição de água</t>
  </si>
  <si>
    <t>37</t>
  </si>
  <si>
    <t>Esgoto e atividades relacionadas</t>
  </si>
  <si>
    <t>38</t>
  </si>
  <si>
    <t>Coleta, tratamento e disposição de resíduos; recuperação de materiais</t>
  </si>
  <si>
    <t>39</t>
  </si>
  <si>
    <t>Descontaminação e outros serviços de gestão de resíduos</t>
  </si>
  <si>
    <t>41</t>
  </si>
  <si>
    <t>F</t>
  </si>
  <si>
    <t>Construção</t>
  </si>
  <si>
    <t>Construção de edifícios</t>
  </si>
  <si>
    <t>42</t>
  </si>
  <si>
    <t>Obras de infraestrutura</t>
  </si>
  <si>
    <t>43</t>
  </si>
  <si>
    <t>Serviços especializados para construção</t>
  </si>
  <si>
    <t>45</t>
  </si>
  <si>
    <t>G</t>
  </si>
  <si>
    <t>Comércio; reparação de veículos automotores e motocicletas</t>
  </si>
  <si>
    <t>Comércio e reparação de veículos automotores e motocicletas</t>
  </si>
  <si>
    <t>SMIC / LKIS — Serviços Menos Intensivos em Conhecimento</t>
  </si>
  <si>
    <t>SMMIC — Serviços de Mercado Menos Intensivos em Conhecimento</t>
  </si>
  <si>
    <t>46</t>
  </si>
  <si>
    <t>Comércio por atacado, exceto veículos automotores e motocicletas</t>
  </si>
  <si>
    <t>47</t>
  </si>
  <si>
    <t>Comércio varejista</t>
  </si>
  <si>
    <t>49</t>
  </si>
  <si>
    <t>H</t>
  </si>
  <si>
    <t>Transporte, armazenagem e correio</t>
  </si>
  <si>
    <t>Transporte terrestre</t>
  </si>
  <si>
    <t>50</t>
  </si>
  <si>
    <t>Transporte aquaviário</t>
  </si>
  <si>
    <t>SBC / KIS — Serviços Baseados em Conhecimento</t>
  </si>
  <si>
    <t>SMICexc — Serviços de Mercado Intensivos em Conhecimento (excluindo high-tech e serviços financeiros)</t>
  </si>
  <si>
    <t>51</t>
  </si>
  <si>
    <t>Transporte aéreo</t>
  </si>
  <si>
    <t>52</t>
  </si>
  <si>
    <t>Armazenamento e atividades auxiliares dos transportes</t>
  </si>
  <si>
    <t>53</t>
  </si>
  <si>
    <t>Correio e outras atividades de entrega</t>
  </si>
  <si>
    <t>OSMIC — Outros Serviços Menos Intensivos em Conhecimento</t>
  </si>
  <si>
    <t>55</t>
  </si>
  <si>
    <t>I</t>
  </si>
  <si>
    <t>Alojamento e alimentação</t>
  </si>
  <si>
    <t>Alojamento</t>
  </si>
  <si>
    <t>56</t>
  </si>
  <si>
    <t>Alimentação</t>
  </si>
  <si>
    <t>58</t>
  </si>
  <si>
    <t>J</t>
  </si>
  <si>
    <t>Informação e comunicação</t>
  </si>
  <si>
    <t>Edição e edição integrada à impressão</t>
  </si>
  <si>
    <t>OSIC — Outros Serviços Intensivos em Conhecimento</t>
  </si>
  <si>
    <t>59</t>
  </si>
  <si>
    <t>Atividades cinematográficas, produção de vídeos e de programas de televisão; gravação de som e edição de música</t>
  </si>
  <si>
    <t>SAT — Serviços de Alta Tecnologia intensivos em conhecimento</t>
  </si>
  <si>
    <t>60</t>
  </si>
  <si>
    <t>Atividades de rádio e de televisão</t>
  </si>
  <si>
    <t>61</t>
  </si>
  <si>
    <t>Telecomunicações</t>
  </si>
  <si>
    <t>62</t>
  </si>
  <si>
    <t>Atividades dos serviços de tecnologia da informação</t>
  </si>
  <si>
    <t>63</t>
  </si>
  <si>
    <t>Atividades de prestação de serviços de informação</t>
  </si>
  <si>
    <t>64</t>
  </si>
  <si>
    <t>K</t>
  </si>
  <si>
    <t>Atividades financeiras, de seguros e serviços relacionados</t>
  </si>
  <si>
    <t>Atividades de serviços financeiros</t>
  </si>
  <si>
    <t>SFIC — Serviços Financeiros Intensivos em Conhecimento</t>
  </si>
  <si>
    <t>65</t>
  </si>
  <si>
    <t>Seguros, resseguros, previdência complementar e planos de saúde</t>
  </si>
  <si>
    <t>66</t>
  </si>
  <si>
    <t>Atividades auxiliares dos serviços financeiros, seguros, previdência complementar e planos de saúde</t>
  </si>
  <si>
    <t>68</t>
  </si>
  <si>
    <t>L</t>
  </si>
  <si>
    <t>Atividades imobiliárias</t>
  </si>
  <si>
    <t>69</t>
  </si>
  <si>
    <t>M</t>
  </si>
  <si>
    <t>Atividades profissionais, científicas e técnicas</t>
  </si>
  <si>
    <t>Atividades jurídicas, de contabilidade e de auditoria</t>
  </si>
  <si>
    <t>70</t>
  </si>
  <si>
    <t>Atividades de sedes de empresas e de consultoria em gestão empresarial</t>
  </si>
  <si>
    <t>71</t>
  </si>
  <si>
    <t>Serviços de arquitetura e engenharia; testes e análises técnicas</t>
  </si>
  <si>
    <t>72</t>
  </si>
  <si>
    <t>Pesquisa e desenvolvimento científico</t>
  </si>
  <si>
    <t>73</t>
  </si>
  <si>
    <t>Publicidade e pesquisa de mercado</t>
  </si>
  <si>
    <t>74</t>
  </si>
  <si>
    <t>Outras atividades profissionais, científicas e técnicas</t>
  </si>
  <si>
    <t>75</t>
  </si>
  <si>
    <t>Atividades veterinárias</t>
  </si>
  <si>
    <t>77</t>
  </si>
  <si>
    <t>N</t>
  </si>
  <si>
    <t>Atividades administrativas e serviços complementares</t>
  </si>
  <si>
    <t>Aluguéis não-imobiliários e gestão de ativos intangíveis não-financeiros</t>
  </si>
  <si>
    <t>78</t>
  </si>
  <si>
    <t>Seleção, agenciamento e locação de mão de obra</t>
  </si>
  <si>
    <t>79</t>
  </si>
  <si>
    <t>Agências de viagens, operadores turísticos e serviços de reservas</t>
  </si>
  <si>
    <t>80</t>
  </si>
  <si>
    <t>Atividades de vigilância, segurança e investigação</t>
  </si>
  <si>
    <t>81</t>
  </si>
  <si>
    <t>Serviços para edifícios e atividades paisagísticas</t>
  </si>
  <si>
    <t>82</t>
  </si>
  <si>
    <t>Serviços de escritório, de apoio administrativo e outros serviços prestados às empresas</t>
  </si>
  <si>
    <t>84</t>
  </si>
  <si>
    <t>O</t>
  </si>
  <si>
    <t>Administração pública, defesa e seguridade social</t>
  </si>
  <si>
    <t>85</t>
  </si>
  <si>
    <t>P</t>
  </si>
  <si>
    <t>Educação</t>
  </si>
  <si>
    <t>86</t>
  </si>
  <si>
    <t>Q</t>
  </si>
  <si>
    <t>Saúde humana e serviços sociais</t>
  </si>
  <si>
    <t>Atividades de atenção à saúde humana</t>
  </si>
  <si>
    <t>87</t>
  </si>
  <si>
    <t>Atividades de atenção à saúde humana integradas com assistência social, prestadas em residências coletivas e particulares</t>
  </si>
  <si>
    <t>88</t>
  </si>
  <si>
    <t>Serviços de assistência social sem alojamento</t>
  </si>
  <si>
    <t>90</t>
  </si>
  <si>
    <t>R</t>
  </si>
  <si>
    <t>Artes, cultura, esporte e recreação</t>
  </si>
  <si>
    <t>Atividades artísticas, criativas e de espetáculos</t>
  </si>
  <si>
    <t>91</t>
  </si>
  <si>
    <t>Atividades ligadas ao patrimônio cultural e ambiental</t>
  </si>
  <si>
    <t>92</t>
  </si>
  <si>
    <t>Atividades de exploração de jogos de azar e apostas</t>
  </si>
  <si>
    <t>93</t>
  </si>
  <si>
    <t>Atividades esportivas e de recreação e lazer</t>
  </si>
  <si>
    <t>94</t>
  </si>
  <si>
    <t>S</t>
  </si>
  <si>
    <t>Outras atividades de serviços</t>
  </si>
  <si>
    <t>Atividades de organizações associativas</t>
  </si>
  <si>
    <t>95</t>
  </si>
  <si>
    <t>Reparação e manutenção de equipamentos de informática e comunicação e de objetos pessoais e domésticos</t>
  </si>
  <si>
    <t>96</t>
  </si>
  <si>
    <t>Outras atividades de serviços pessoais</t>
  </si>
  <si>
    <t>97</t>
  </si>
  <si>
    <t>T</t>
  </si>
  <si>
    <t>Serviços domésticos</t>
  </si>
  <si>
    <t>99</t>
  </si>
  <si>
    <t>U</t>
  </si>
  <si>
    <t>Organismos internacionais e outras instituições extraterritoriais</t>
  </si>
  <si>
    <t>Categoria tecnológica</t>
  </si>
  <si>
    <t>Divisão</t>
  </si>
  <si>
    <t>Cobertura CNAE brasileira</t>
  </si>
  <si>
    <t>Código(s) operacional(is)</t>
  </si>
  <si>
    <t>Atividade resumida</t>
  </si>
  <si>
    <t>Base da tradução</t>
  </si>
  <si>
    <t>Toda a divisão</t>
  </si>
  <si>
    <t>Farmacêuticos/farmoquímicos</t>
  </si>
  <si>
    <t>Direta</t>
  </si>
  <si>
    <t>Informática, eletrônicos e ópticos</t>
  </si>
  <si>
    <t>Somente grupo 30.4</t>
  </si>
  <si>
    <t>30.4</t>
  </si>
  <si>
    <t>Fabricação de aeronaves</t>
  </si>
  <si>
    <t>NACE 30.3 → CIIU/ISIC 3030 → CNAE 30.4</t>
  </si>
  <si>
    <t>Produtos químicos</t>
  </si>
  <si>
    <t>Somente grupo 25.5</t>
  </si>
  <si>
    <t>25.5</t>
  </si>
  <si>
    <t>Equipamento bélico pesado, armas e munições</t>
  </si>
  <si>
    <t>NACE 25.4 → CIIU/ISIC 2520 → CNAE 25.5</t>
  </si>
  <si>
    <t>Máquinas, aparelhos e materiais elétricos</t>
  </si>
  <si>
    <t>Máquinas e equipamentos</t>
  </si>
  <si>
    <t>Veículos automotores, reboques e carrocerias</t>
  </si>
  <si>
    <t>Grupos 30.3, 30.5 e 30.9</t>
  </si>
  <si>
    <t>30.3; 30.5; 30.9</t>
  </si>
  <si>
    <t>Demais equipamentos de transporte, exceto embarcações e aeronaves</t>
  </si>
  <si>
    <t>CNAE 30, exceto 30.1 e 30.4</t>
  </si>
  <si>
    <t>Somente grupo 32.5</t>
  </si>
  <si>
    <t>32.5</t>
  </si>
  <si>
    <t>Instrumentos/materiais médico-odontológicos e artigos ópticos</t>
  </si>
  <si>
    <t>NACE 32.5 → CIIU/ISIC 3250 → CNAE 32.5</t>
  </si>
  <si>
    <t>Somente grupo 18.3</t>
  </si>
  <si>
    <t>18.3</t>
  </si>
  <si>
    <t>Reprodução de materiais gravados em qualquer suporte</t>
  </si>
  <si>
    <t>NACE 18.2 → CIIU/ISIC 1820 → CNAE 18.3</t>
  </si>
  <si>
    <t>Coque, derivados de petróleo e biocombustíveis</t>
  </si>
  <si>
    <t>Borracha e material plástico</t>
  </si>
  <si>
    <t>Minerais não-metálicos</t>
  </si>
  <si>
    <t>Grupos 25.1, 25.2, 25.3, 25.4 e 25.9</t>
  </si>
  <si>
    <t>25.1; 25.2; 25.3; 25.4; 25.9</t>
  </si>
  <si>
    <t>Produtos de metal, exceto o grupo bélico 25.5</t>
  </si>
  <si>
    <t>CNAE 25, exceto 25.5</t>
  </si>
  <si>
    <t>Somente grupo 30.1</t>
  </si>
  <si>
    <t>30.1</t>
  </si>
  <si>
    <t>Construção de embarcações</t>
  </si>
  <si>
    <t>NACE 30.1 → CIIU/ISIC 3011/3012 → CNAE 30.1</t>
  </si>
  <si>
    <t>10–17</t>
  </si>
  <si>
    <t>Todas as divisões</t>
  </si>
  <si>
    <t>10; 11; 12; 13; 14; 15; 16; 17</t>
  </si>
  <si>
    <t>Alimentos a papel/celulose</t>
  </si>
  <si>
    <t>Grupos 18.1 e 18.2</t>
  </si>
  <si>
    <t>18.1; 18.2</t>
  </si>
  <si>
    <t>Impressão; pré-impressão e acabamentos gráficos</t>
  </si>
  <si>
    <t>CNAE 18, exceto 18.3</t>
  </si>
  <si>
    <t>Móveis</t>
  </si>
  <si>
    <t>Grupos 32.1, 32.2, 32.3, 32.4 e 32.9</t>
  </si>
  <si>
    <t>32.1; 32.2; 32.3; 32.4; 32.9</t>
  </si>
  <si>
    <t>Produtos diversos, exceto grupo médico/óptico 32.5</t>
  </si>
  <si>
    <t>32 exceto 32.5</t>
  </si>
  <si>
    <t>Atividade NACE</t>
  </si>
  <si>
    <t>CNAE 2.0 equivalente</t>
  </si>
  <si>
    <t>Atividade CNAE</t>
  </si>
  <si>
    <t>Categoria</t>
  </si>
  <si>
    <t>Critério de correspondência</t>
  </si>
  <si>
    <t>CIIU/ISIC Rev.4 intermediária</t>
  </si>
  <si>
    <t>Evidência IBGE da correspondência</t>
  </si>
  <si>
    <t>18.2</t>
  </si>
  <si>
    <t>Reproduction of recorded media</t>
  </si>
  <si>
    <t>Média-baixa</t>
  </si>
  <si>
    <t>Correspondência por identidade da atividade; numeração de grupo difere</t>
  </si>
  <si>
    <t>1820</t>
  </si>
  <si>
    <t>IBGE, tabela CNAE 2.0 ↔ CIIU/ISIC Rev.4: 1820 ↔ classe 18.30-0 (grupo 18.3)</t>
  </si>
  <si>
    <t>25.4</t>
  </si>
  <si>
    <t>Manufacture of weapons and ammunition</t>
  </si>
  <si>
    <t>Fabricação de equipamento bélico pesado, armas e munições</t>
  </si>
  <si>
    <t>Média-alta</t>
  </si>
  <si>
    <t>2520</t>
  </si>
  <si>
    <t>IBGE, tabela CNAE 2.0 ↔ CIIU/ISIC Rev.4: 2520 ↔ classe 25.50-1 (grupo 25.5)</t>
  </si>
  <si>
    <t>Building of ships and boats</t>
  </si>
  <si>
    <t>Correspondência direta por atividade e código</t>
  </si>
  <si>
    <t>3011/3012</t>
  </si>
  <si>
    <t>IBGE: 3011 ↔ 30.11-3 e 3012 ↔ 30.12-1; ambas pertencem ao grupo 30.1</t>
  </si>
  <si>
    <t>30.3</t>
  </si>
  <si>
    <t>Manufacture of air and spacecraft and related machinery</t>
  </si>
  <si>
    <t>Alta</t>
  </si>
  <si>
    <t>Confirmada também diretamente pelo CGEE, Tabela 7.09</t>
  </si>
  <si>
    <t>3030</t>
  </si>
  <si>
    <t>IBGE: 3030 ↔ classes 30.41-5 e 30.42-3; ambas pertencem ao grupo 30.4</t>
  </si>
  <si>
    <t>Manufacture of medical and dental instruments and supplies</t>
  </si>
  <si>
    <t>Fabricação de instrumentos e materiais para uso médico e odontológico e de artigos ópticos</t>
  </si>
  <si>
    <t>Correspondência direta por atividade e código; confirmada pelo CGEE</t>
  </si>
  <si>
    <t>3250</t>
  </si>
  <si>
    <t>IBGE, tabela CNAE 2.0 ↔ CIIU/ISIC Rev.4: 3250 ↔ classe 32.50-7 (grupo 32.5)</t>
  </si>
  <si>
    <t>Classe</t>
  </si>
  <si>
    <t>Subgrupo</t>
  </si>
  <si>
    <t>Divisões CNAE (2 dígitos)</t>
  </si>
  <si>
    <t>SBC / KIS</t>
  </si>
  <si>
    <t>50; 51; 69; 70; 71; 73; 74; 78; 80</t>
  </si>
  <si>
    <t>59; 60; 61; 62; 63; 72</t>
  </si>
  <si>
    <t>64; 65; 66</t>
  </si>
  <si>
    <t>58; 75; 84; 85; 86; 87; 88; 90; 91; 92; 93</t>
  </si>
  <si>
    <t>SMIC / LKIS</t>
  </si>
  <si>
    <t>45; 46; 47; 49; 52; 55; 56; 68; 77; 79; 81; 82; 95</t>
  </si>
  <si>
    <t>53; 94; 96; 97; 99</t>
  </si>
  <si>
    <t>Cobertura</t>
  </si>
  <si>
    <t>Códigos</t>
  </si>
  <si>
    <t>Descrição</t>
  </si>
  <si>
    <t>Seção inteira</t>
  </si>
  <si>
    <t>01–03</t>
  </si>
  <si>
    <t>05–09</t>
  </si>
  <si>
    <t>Divisões selecionadas</t>
  </si>
  <si>
    <t>10; 11; 12; 14; 15; 16; 17; 19; 23; 24</t>
  </si>
  <si>
    <t>Indústria de transformação baseada em recursos naturais/primários</t>
  </si>
  <si>
    <t>36–39</t>
  </si>
  <si>
    <t>ID</t>
  </si>
  <si>
    <t>Fonte</t>
  </si>
  <si>
    <t>Uso na auditoria</t>
  </si>
  <si>
    <t>Localização exata</t>
  </si>
  <si>
    <t>URL</t>
  </si>
  <si>
    <t>F1</t>
  </si>
  <si>
    <t>IBGE — CNAE 2.0, 2ª edição (2015), PDF oficial</t>
  </si>
  <si>
    <t>Estrutura de 21 seções, 87 divisões; códigos e denominações; hierarquia divisão→grupo</t>
  </si>
  <si>
    <t>Seção 2.2, Estrutura detalhada da CNAE 2.0, especialmente pp. 42–68 do PDF</t>
  </si>
  <si>
    <t>https://ftp.ibge.gov.br/Informacoes_Gerais_e_Referencia/Classificacoes/CNAE/cnae2_0_2edicao/cnae2_0_2edicao_20150609.pdf</t>
  </si>
  <si>
    <t>F1b</t>
  </si>
  <si>
    <t>IBGE/CONCLA — busca online CNAE</t>
  </si>
  <si>
    <t>Checagem complementar da hierarquia e de variantes de denominação exibidas atualmente</t>
  </si>
  <si>
    <t>Busca online da CNAE/CONCLA</t>
  </si>
  <si>
    <t>https://cnae.ibge.gov.br/</t>
  </si>
  <si>
    <t>F2</t>
  </si>
  <si>
    <t>Eurostat — documento de janeiro de 2009 (cópia espelho)</t>
  </si>
  <si>
    <t>Taxonomia industrial em 3 dígitos e taxonomia de serviços KIS/LKIS em 2 dígitos</t>
  </si>
  <si>
    <t>p. 1: indústria; p. 2: serviços</t>
  </si>
  <si>
    <t>https://www.statistik.at/stddoku/subdokumente/b_f-e_firmeneig_bereich_high_tech_sectors_nace_rev_2.pdf</t>
  </si>
  <si>
    <t>F2b</t>
  </si>
  <si>
    <t>Eurostat — Annex 3 atual</t>
  </si>
  <si>
    <t>https://ec.europa.eu/eurostat/cache/metadata/Annexes/htec_esms_an_3.pdf</t>
  </si>
  <si>
    <t>F2c</t>
  </si>
  <si>
    <t>EUR-Lex — Regulamento (UE) 2015/2112</t>
  </si>
  <si>
    <t>Corroboração oficial da UE das exceções industriais em 3 dígitos</t>
  </si>
  <si>
    <t>Anexo: HIT, MHT, MLT e LOT</t>
  </si>
  <si>
    <t>https://eur-lex.europa.eu/legal-content/EN/TXT/?uri=CELEX:32015R2112</t>
  </si>
  <si>
    <t>F3</t>
  </si>
  <si>
    <t>CGEE — Mestres e doutores 2015 (publicado em 2016)</t>
  </si>
  <si>
    <t>p. 234</t>
  </si>
  <si>
    <t>https://antigo.mctic.gov.br/mctic/export/sites/institucional/ciencia/SEPED/ciencias_humanas/Publicacoes/CGEE_Mestres-e-doutores-2015.pdf</t>
  </si>
  <si>
    <t>F4</t>
  </si>
  <si>
    <t>CGEE — Tabela 7.09</t>
  </si>
  <si>
    <t>Aplicação brasileira da intensidade tecnológica industrial; confirma 30.4 em Alta e 32.5 em Média-Alta</t>
  </si>
  <si>
    <t>pp. 271–272</t>
  </si>
  <si>
    <t>F5</t>
  </si>
  <si>
    <t>CGEE — Tabelas 7.10 e 7.11</t>
  </si>
  <si>
    <t>Aplicação brasileira das categorias de intensidade de conhecimento dos serviços</t>
  </si>
  <si>
    <t>pp. 277–281</t>
  </si>
  <si>
    <t>F6</t>
  </si>
  <si>
    <t>CGEE — Tabela 7.12</t>
  </si>
  <si>
    <t>Atividades baseadas em recursos naturais ou primários</t>
  </si>
  <si>
    <t>pp. 283–284</t>
  </si>
  <si>
    <t>F1c</t>
  </si>
  <si>
    <t>IBGE — correspondência CNAE 2.0 ↔ CIIU/ISIC Rev.4</t>
  </si>
  <si>
    <t>Validação independente das 5 correspondências especiais NACE→CNAE usando a CIIU/ISIC Rev.4 como ponte</t>
  </si>
  <si>
    <t>Tabelas de correspondência da publicação CNAE 2.0, especialmente pp. 402–411 do PDF</t>
  </si>
  <si>
    <t>Teste</t>
  </si>
  <si>
    <t>Resultado</t>
  </si>
  <si>
    <t>Esperado</t>
  </si>
  <si>
    <t>Interpretação</t>
  </si>
  <si>
    <t>Total de divisões no mapa</t>
  </si>
  <si>
    <t>A CNAE 2.0 possui 87 divisões.</t>
  </si>
  <si>
    <t>Códigos CNAE únicos</t>
  </si>
  <si>
    <t>Não pode haver duplicidade de divisão.</t>
  </si>
  <si>
    <t>Divisões industriais mistas</t>
  </si>
  <si>
    <t>18, 25, 30 e 32 dependem de grupo.</t>
  </si>
  <si>
    <t>Linhas sem status</t>
  </si>
  <si>
    <t>Nenhuma linha do mapa pode ficar sem status.</t>
  </si>
  <si>
    <t>Linhas não validadas</t>
  </si>
  <si>
    <t>Divisões de serviços classificadas</t>
  </si>
  <si>
    <t>47 divisões CNAE existentes no conjunto KIS/LKIS.</t>
  </si>
  <si>
    <t>Divisões recursos naturais = Sim</t>
  </si>
  <si>
    <t>A+B+D+E + dez divisões da transformação.</t>
  </si>
  <si>
    <t>Pendências metodológicas de classificação</t>
  </si>
  <si>
    <t>Não há código sem regra dentro da taxonomia adotada.</t>
  </si>
  <si>
    <t>Grupos das divisões mistas auditados</t>
  </si>
  <si>
    <t>3 grupos na divisão 18 + 6 na 25 + 5 na 30 + 6 na 32.</t>
  </si>
  <si>
    <t>Decisão do TCC</t>
  </si>
  <si>
    <t>Natureza</t>
  </si>
  <si>
    <t>Tratamento correto</t>
  </si>
  <si>
    <t>Por quê</t>
  </si>
  <si>
    <t>Aplicar tipologias a todos os vínculos formais analisados</t>
  </si>
  <si>
    <t>Decisão metodológica do pesquisador</t>
  </si>
  <si>
    <t>Declarar explicitamente na metodologia</t>
  </si>
  <si>
    <t>O CGEE usa a tipologia na análise de entidades empresariais; o TCC usa a taxonomia como atributo do setor econômico do vínculo.</t>
  </si>
  <si>
    <t>Usar CNAE divisão como unidade principal</t>
  </si>
  <si>
    <t>Decisão operacional</t>
  </si>
  <si>
    <t>Manter 2 dígitos em tabelas principais</t>
  </si>
  <si>
    <t>Evita fragmentação excessiva e preserva comparabilidade.</t>
  </si>
  <si>
    <t>Usar grupo CNAE apenas quando a divisão é tecnologicamente mista</t>
  </si>
  <si>
    <t>Decisão operacional necessária</t>
  </si>
  <si>
    <t>Aplicar apenas em 18, 25, 30 e 32</t>
  </si>
  <si>
    <t>Permite reproduzir integralmente a taxonomia de 3 dígitos sem detalhar toda a base.</t>
  </si>
  <si>
    <t>Denominações de divisões conferidas no IBGE</t>
  </si>
  <si>
    <t>Conferência linha a linha contra a tabela de estrutura detalhada da CNAE 2.0, 2ª ed. (IBGE, 2015).</t>
  </si>
  <si>
    <t>Variantes documentais oficiais registradas</t>
  </si>
  <si>
    <t>CNAE 03 e 82 possuem redações/ortografias diferentes em partes/fontes oficiais; ambas foram documentadas.</t>
  </si>
  <si>
    <t>Divergências conhecidas não resolvidas</t>
  </si>
  <si>
    <t>Nenhuma divergência classificatória ou documental ficou sem tratamento nesta reauditoria.</t>
  </si>
  <si>
    <t>Crosswalk especial corroborado via CIIU/ISIC</t>
  </si>
  <si>
    <t>As cinco correspondências especiais foram verificadas por código CIIU/ISIC Rev.4, não apenas por semelhança de descrição.</t>
  </si>
  <si>
    <t>Grupo CNAE</t>
  </si>
  <si>
    <t>Denominação oficial do grupo</t>
  </si>
  <si>
    <t>Categoria final</t>
  </si>
  <si>
    <t>Justificativa</t>
  </si>
  <si>
    <t>Fontes</t>
  </si>
  <si>
    <t>18.1</t>
  </si>
  <si>
    <t>Atividade de impressão</t>
  </si>
  <si>
    <t>18 exclui o equivalente de NACE 18.2; CNAE 18.1 permanece baixa</t>
  </si>
  <si>
    <t>IBGE + Eurostat 2009</t>
  </si>
  <si>
    <t>Serviços de pré-impressão e acabamentos gráficos</t>
  </si>
  <si>
    <t>18 exclui o equivalente de NACE 18.2; CNAE 18.2 NÃO é reprodução de mídia</t>
  </si>
  <si>
    <t>Equivalente brasileiro da atividade NACE 18.2</t>
  </si>
  <si>
    <t>25.1</t>
  </si>
  <si>
    <t>Fabricação de estruturas metálicas e obras de caldeiraria pesada</t>
  </si>
  <si>
    <t>Divisão 25 exceto grupo bélico equivalente a NACE 25.4</t>
  </si>
  <si>
    <t>25.2</t>
  </si>
  <si>
    <t>Fabricação de tanques, reservatórios metálicos e caldeiras</t>
  </si>
  <si>
    <t>25.3</t>
  </si>
  <si>
    <t>Forjaria, estamparia, metalurgia do pó e serviços de tratamento de metais</t>
  </si>
  <si>
    <t>Fabricação de artigos de cutelaria, de serralheria e ferramentas</t>
  </si>
  <si>
    <t>Na CNAE brasileira 25.4 NÃO é armas/munições</t>
  </si>
  <si>
    <t>Equivalente brasileiro da atividade NACE 25.4</t>
  </si>
  <si>
    <t>25.9</t>
  </si>
  <si>
    <t>Fabricação de produtos de metal não especificados anteriormente</t>
  </si>
  <si>
    <t>Equivalente direto de NACE 30.1</t>
  </si>
  <si>
    <t>Fabricação de veículos ferroviários</t>
  </si>
  <si>
    <t>Parte da divisão 30 não excluída pela Eurostat</t>
  </si>
  <si>
    <t>Equivalente brasileiro de NACE 30.3; confirmado diretamente pelo CGEE</t>
  </si>
  <si>
    <t>IBGE + Eurostat 2009 + CGEE</t>
  </si>
  <si>
    <t>30.5</t>
  </si>
  <si>
    <t>Fabricação de veículos militares de combate</t>
  </si>
  <si>
    <t>30.9</t>
  </si>
  <si>
    <t>Fabricação de equipamentos de transporte não especificados anteriormente</t>
  </si>
  <si>
    <t>32.1</t>
  </si>
  <si>
    <t>Fabricação de artigos de joalheria, bijuteria e semelhantes</t>
  </si>
  <si>
    <t>Divisão 32 exceto 32.5</t>
  </si>
  <si>
    <t>32.2</t>
  </si>
  <si>
    <t>Fabricação de instrumentos musicais</t>
  </si>
  <si>
    <t>32.3</t>
  </si>
  <si>
    <t>Fabricação de artefatos para pesca e esporte</t>
  </si>
  <si>
    <t>32.4</t>
  </si>
  <si>
    <t>Fabricação de brinquedos e jogos recreativos</t>
  </si>
  <si>
    <t>Equivalente direto de NACE 32.5; confirmado pelo CGEE</t>
  </si>
  <si>
    <t>32.9</t>
  </si>
  <si>
    <t>CNAE</t>
  </si>
  <si>
    <t>Denominação CNAE 2.0 usada no quadro</t>
  </si>
  <si>
    <t>Resultado da conferência</t>
  </si>
  <si>
    <t>Fonte oficial</t>
  </si>
  <si>
    <t>CONFERE — estrutura oficial CNAE 2.0 (IBGE, 2015)</t>
  </si>
  <si>
    <t>Código</t>
  </si>
  <si>
    <t>Campo</t>
  </si>
  <si>
    <t>Forma usada no mapa</t>
  </si>
  <si>
    <t>Outra forma encontrada em fonte oficial</t>
  </si>
  <si>
    <t>Fonte da forma usada</t>
  </si>
  <si>
    <t>Fonte da variante</t>
  </si>
  <si>
    <t>Decisão auditável</t>
  </si>
  <si>
    <t>Denominação da divisão</t>
  </si>
  <si>
    <t>Pesca e aqüicultura</t>
  </si>
  <si>
    <t>IBGE CNAE 2.0, 2ª ed. (2015), tabela Estrutura da CNAE 2.0, p. 43</t>
  </si>
  <si>
    <t>Outros trechos do mesmo PDF e busca online CONCLA ainda exibem a grafia antiga com trema</t>
  </si>
  <si>
    <t>Usar a denominação da tabela oficial de códigos e denominações: 'Pesca e aquicultura'.</t>
  </si>
  <si>
    <t>Serviços de escritório, de apoio administrativo e outros serviços prestados principalmente às empresas</t>
  </si>
  <si>
    <t>IBGE CNAE 2.0, 2ª ed. (2015), tabela Estrutura da CNAE 2.0, p. 65; CGEE 2016 também usa a forma sem 'principalmente'</t>
  </si>
  <si>
    <t>Notas explicativas do mesmo PDF e busca online CONCLA usam a forma com 'principalmente'</t>
  </si>
  <si>
    <t>Manter no mapa a denominação da tabela de estrutura detalhada de 2015, registrando a variante; código e classificação são idênticos.</t>
  </si>
  <si>
    <t>Cobertura auditada</t>
  </si>
  <si>
    <t>Fonte principal</t>
  </si>
  <si>
    <t>Ação nesta rodada</t>
  </si>
  <si>
    <t>Códigos de divisão CNAE</t>
  </si>
  <si>
    <t>87/87</t>
  </si>
  <si>
    <t>87 códigos únicos</t>
  </si>
  <si>
    <t>IBGE 2015</t>
  </si>
  <si>
    <t>Recontagem e checagem estrutural</t>
  </si>
  <si>
    <t>OK</t>
  </si>
  <si>
    <t>Denominações das divisões</t>
  </si>
  <si>
    <t>87 linhas confrontadas com a estrutura oficial</t>
  </si>
  <si>
    <t>CNAE 03 padronizada para a forma da tabela de estrutura; variante oficial documentada</t>
  </si>
  <si>
    <t>Indústria de transformação</t>
  </si>
  <si>
    <t>24/24 divisões</t>
  </si>
  <si>
    <t>20 divisões homogêneas + 4 divisões mistas</t>
  </si>
  <si>
    <t>Eurostat jan/2009 + IBGE</t>
  </si>
  <si>
    <t>Revalidada a regra em 3 dígitos</t>
  </si>
  <si>
    <t>4/4</t>
  </si>
  <si>
    <t>18, 25, 30 e 32</t>
  </si>
  <si>
    <t>Todas mantidas como mistas no mapa</t>
  </si>
  <si>
    <t>Grupos das divisões mistas</t>
  </si>
  <si>
    <t>20/20</t>
  </si>
  <si>
    <t>20 grupos auditados</t>
  </si>
  <si>
    <t>IBGE 2015 + Eurostat jan/2009</t>
  </si>
  <si>
    <t>25.5 corrigido para denominação oficial 'armas e munições'</t>
  </si>
  <si>
    <t>Crosswalk NACE→CNAE especial</t>
  </si>
  <si>
    <t>5/5</t>
  </si>
  <si>
    <t>18.2→18.3; 25.4→25.5; 30.1→30.1; 30.3→30.4; 32.5→32.5</t>
  </si>
  <si>
    <t>Eurostat jan/2009 + IBGE 2015</t>
  </si>
  <si>
    <t>Revalidado por identidade da atividade, não por igualdade cega do número</t>
  </si>
  <si>
    <t>Serviços KIS/LKIS</t>
  </si>
  <si>
    <t>47/47 divisões CNAE existentes</t>
  </si>
  <si>
    <t>Todos os códigos brasileiros aplicáveis classificados</t>
  </si>
  <si>
    <t>Recontagem e conferência dos seis subgrupos</t>
  </si>
  <si>
    <t>Recursos naturais/primários</t>
  </si>
  <si>
    <t>23/23 divisões</t>
  </si>
  <si>
    <t>Conjunto reproduzido integralmente</t>
  </si>
  <si>
    <t>CGEE Tabela 7.12</t>
  </si>
  <si>
    <t>Rechecagem integral</t>
  </si>
  <si>
    <t>Variantes documentais IBGE</t>
  </si>
  <si>
    <t>2 casos registrados</t>
  </si>
  <si>
    <t>03 e 82</t>
  </si>
  <si>
    <t>IBGE 2015 + CONCLA</t>
  </si>
  <si>
    <t>Variantes explicitadas sem alterar os códigos</t>
  </si>
  <si>
    <t>Regras sem fonte</t>
  </si>
  <si>
    <t>Nenhuma</t>
  </si>
  <si>
    <t>Trilha F1–F6</t>
  </si>
  <si>
    <t>Nenhuma pendência</t>
  </si>
  <si>
    <t>Todas as fontes declaradas</t>
  </si>
  <si>
    <t>—</t>
  </si>
  <si>
    <t>Crosswalk NACE→CNAE por ponte CIIU/ISIC</t>
  </si>
  <si>
    <t>5/5 correspondências especiais</t>
  </si>
  <si>
    <t>Todas corroboradas por códigos CIIU/ISIC Rev.4 oficiais</t>
  </si>
  <si>
    <t>Eurostat/EUR-Lex + IBGE 2015</t>
  </si>
  <si>
    <t>18.2→1820→18.3; 25.4→2520→25.5; 30.1→3011/3012→30.1; 30.3→3030→30.4; 32.5→3250→32.5</t>
  </si>
  <si>
    <t>A indústria tem 4 divisões mistas (18, 25, 30 e 32). O mapeamento integral dos 20 grupos está em Crosswalk_completo_mistos. A ponte NACE→CIIU/ISIC usa o Regulamento original da NACE Rev.2 (2006), vigente quando a taxonomia Eurostat de janeiro/2009 foi publicada.</t>
  </si>
  <si>
    <t>O indicador de recursos naturais segue a operacionalização brasileira do CGEE (Tabela 7.12). A OECD (2014), fonte conceitual citada pelo CGEE, exclui 14 e 15; o CGEE as inclui explicitamente. Por isso 14 e 15 permanecem 'Sim' e essa diferença está documentada na aba Recursos_naturais.</t>
  </si>
  <si>
    <t>O CGEE analisou entidades empresariais e excluiu 84, 94, 97 e 99 desse universo. O TCC usa todos os vínculos formais da RAIS; essas quatro divisões são classificadas pela tipologia Eurostat e a diferença de população empírica está documentada em Diferencas_CGEE_TCC.</t>
  </si>
  <si>
    <t>F1 + F2 + F3 + F6</t>
  </si>
  <si>
    <t>F1 + F2 + F3 + F6 + F4</t>
  </si>
  <si>
    <t>F1 + F2 + F3 + F6 + F4 + F7</t>
  </si>
  <si>
    <t>F1 + F2 + F3 + F6 + F5</t>
  </si>
  <si>
    <t>VALIDADO — Eurostat; fora da amostra empresarial do CGEE</t>
  </si>
  <si>
    <t>NACE Rev.2 — correspondências críticas de fronteira tecnológica</t>
  </si>
  <si>
    <t>Ponto de auditoria</t>
  </si>
  <si>
    <t>Fonte original</t>
  </si>
  <si>
    <t>Operacionalização do CGEE</t>
  </si>
  <si>
    <t>Regra adotada no TCC</t>
  </si>
  <si>
    <t>Divisões 14 e 15</t>
  </si>
  <si>
    <t>OECD (2014) exclui 14 e 15 do agregado por pequena contribuição ao BERD e problemas de disponibilidade de dados.</t>
  </si>
  <si>
    <t>CGEE (2016), Tabela 7.12, inclui explicitamente as divisões CNAE 14 e 15 entre as atividades baseadas em recursos naturais/primários.</t>
  </si>
  <si>
    <t>Seguir o CGEE: 14 = Sim; 15 = Sim.</t>
  </si>
  <si>
    <t>Demais componentes</t>
  </si>
  <si>
    <t>OECD (2014): A, B, 10–12, 16, 17, 19, 23, 24 e D–E.</t>
  </si>
  <si>
    <t>CGEE (2016), Tabela 7.12, reproduz esses componentes e acrescenta 14 e 15 na aplicação brasileira.</t>
  </si>
  <si>
    <t>Seguir integralmente a Tabela 7.12 do CGEE.</t>
  </si>
  <si>
    <t>Conclusão</t>
  </si>
  <si>
    <t>OECD é a referência conceitual original.</t>
  </si>
  <si>
    <t>CGEE é a operacionalização brasileira efetivamente usada no estudo que fundamenta este TCC.</t>
  </si>
  <si>
    <t>O indicador da planilha é 'CGEE Tabela 7.12', não 'réplica literal OECD 2014'.</t>
  </si>
  <si>
    <t>Corroboração ATUAL apenas da agregação industrial em 2 dígitos e da lista KIS/LKIS de serviços. NÃO é a fonte das exceções industriais em 3 dígitos usadas no TCC.</t>
  </si>
  <si>
    <t>Annex 3 atual: indústria em 2 dígitos; serviços KIS/LKIS em 2 dígitos.</t>
  </si>
  <si>
    <t>Declaração metodológica: Eurostat (2009) para indústria/serviços; OECD (2014) como referência conceitual para recursos naturais. A lista operacional brasileira de recursos naturais usada no TCC é a Tabela 7.12 do próprio CGEE.</t>
  </si>
  <si>
    <t>F2d</t>
  </si>
  <si>
    <t>EUR-Lex — Regulamento (CE) nº 1893/2006, NACE Rev.2 original</t>
  </si>
  <si>
    <t>Ponte oficial NACE Rev.2 ↔ CIIU/ISIC Rev.4 usada para auditar os 20 grupos das divisões industriais mistas</t>
  </si>
  <si>
    <t>Anexo I — estrutura original da NACE Rev.2 e coluna CIIU/ISIC Rev.4, vigente quando a taxonomia Eurostat de jan/2009 foi publicada</t>
  </si>
  <si>
    <t>https://eur-lex.europa.eu/legal-content/EN/TXT/?uri=CELEX:32006R1893</t>
  </si>
  <si>
    <t>F7</t>
  </si>
  <si>
    <t>OECD Science, Technology and Industry Outlook 2014</t>
  </si>
  <si>
    <t>Fonte original do agregado Primary-resource-based industries citado pelo CGEE; usada aqui para documentar a diferença de operacionalização do CGEE</t>
  </si>
  <si>
    <t>Methodological annex, p. 470: inclui A, B, 10–12, 16, 17, 19, 23, 24 e D–E; exclui 14 e 15 por pequena contribuição ao BERD e disponibilidade de dados</t>
  </si>
  <si>
    <t>https://www.oecd.org/content/dam/oecd/en/publications/reports/2014/11/oecd-science-technology-and-industry-outlook-2014_g1g356f4/sti_outlook-2014-en.pdf</t>
  </si>
  <si>
    <t>Correspondências críticas de fronteira tecnológica</t>
  </si>
  <si>
    <t>São as 5 correspondências que mudam a categoria em relação à regra da divisão; não representam todo o crosswalk NACE↔CNAE.</t>
  </si>
  <si>
    <t>Conta como validada qualquer linha cujo status comece por 'VALIDADO', incluindo as quatro divisões 84, 94, 97 e 99, validadas pela Eurostat mas fora da amostra empresarial do CGEE.</t>
  </si>
  <si>
    <t>Distinção Eurostat 2009 x Annex 3 atual documentada</t>
  </si>
  <si>
    <t>A fonte de 3 dígitos é a lista de janeiro/2009 citada pelo CGEE; o Annex 3 atual é 2 dígitos.</t>
  </si>
  <si>
    <t>Linhas com trilha de fontes completa</t>
  </si>
  <si>
    <t>Todas as 87 divisões apontam para as fontes que sustentam indústria, serviços e recursos naturais, inclusive quando a resposta é 'Não se aplica'/'Não'.</t>
  </si>
  <si>
    <t>Grupos das divisões mistas com crosswalk NACE→ISIC→CNAE completo</t>
  </si>
  <si>
    <t>Todos os 20 grupos CNAE das divisões 18, 25, 30 e 32 possuem agora correspondência documentada via CIIU/ISIC Rev.4.</t>
  </si>
  <si>
    <t>Fonte NACE principal = Regulamento original de 2006</t>
  </si>
  <si>
    <t>A ponte NACE→CIIU/ISIC usa como fonte principal o Regulamento (CE) nº 1893/2006 original, temporalmente compatível com a taxonomia Eurostat de janeiro/2009.</t>
  </si>
  <si>
    <t>OECD x CGEE em recursos naturais documentado</t>
  </si>
  <si>
    <t>Divisões 14 e 15: OECD exclui; CGEE Tabela 7.12 inclui; o TCC segue CGEE.</t>
  </si>
  <si>
    <t>Divisões fora da amostra empresarial do CGEE identificadas</t>
  </si>
  <si>
    <t>84, 94, 97 e 99 permanecem classificadas pela Eurostat no universo RAIS do TCC.</t>
  </si>
  <si>
    <t>Consolidação NACE 2019 tratada apenas como etapa histórica</t>
  </si>
  <si>
    <t>A consolidação de 26/07/2019 não é mais a fonte principal do quadro; a decisão final usa o regulamento original de 2006.</t>
  </si>
  <si>
    <t>Eurostat 2009 x Annex 3 atual</t>
  </si>
  <si>
    <t>2 documentos</t>
  </si>
  <si>
    <t>Sem conflito metodológico: o TCC segue a versão jan/2009 citada pelo CGEE; o Annex 3 atual é 2 dígitos</t>
  </si>
  <si>
    <t>Eurostat jan/2009 + Eurostat Annex 3 atual + CGEE p.234</t>
  </si>
  <si>
    <t>Corrigida a descrição da fonte F2b para impedir que ela seja usada como prova das exceções em 3 dígitos</t>
  </si>
  <si>
    <t>Trilha de fontes por linha</t>
  </si>
  <si>
    <t>87/87 divisões</t>
  </si>
  <si>
    <t>Cada linha agora referencia também as fontes que justificam os 'Não se aplica' e o 'Não' em recursos naturais</t>
  </si>
  <si>
    <t>IBGE + Eurostat + CGEE</t>
  </si>
  <si>
    <t>A coluna 'Fontes da regra' foi completada para todas as três dimensões classificatórias</t>
  </si>
  <si>
    <t>Crosswalk completo das divisões industriais mistas</t>
  </si>
  <si>
    <t>20/20 grupos</t>
  </si>
  <si>
    <t>Todos os grupos de 18, 25, 30 e 32 foram ligados à NACE por meio da CIIU/ISIC Rev.4</t>
  </si>
  <si>
    <t>Eurostat 2009 + Regulamento NACE Rev.2 1893/2006 + IBGE 2015</t>
  </si>
  <si>
    <t>A antiga aba de 5 linhas foi reclassificada como 'correspondências críticas'; criado crosswalk integral de 20 grupos</t>
  </si>
  <si>
    <t>Versão consolidada de 2019 — etapa intermediária</t>
  </si>
  <si>
    <t>1 fonte histórica</t>
  </si>
  <si>
    <t>Posteriormente substituída como fonte principal pelo Regulamento original de 2006</t>
  </si>
  <si>
    <t>EUR-Lex NACE Rev.2 — 26/07/2019</t>
  </si>
  <si>
    <t>Registro mantido apenas para preservar a trilha da auditoria; não fundamenta a versão final.</t>
  </si>
  <si>
    <t>SUPERADO</t>
  </si>
  <si>
    <t>Fonte NACE temporalmente alinhada</t>
  </si>
  <si>
    <t>1 fonte crítica</t>
  </si>
  <si>
    <t>Regulamento original de 2006 substitui a versão consolidada de 2019 como ponte principal</t>
  </si>
  <si>
    <t>EUR-Lex 1893/2006</t>
  </si>
  <si>
    <t>A fonte agora coincide temporalmente com a NACE Rev.2 usada pela Eurostat em jan/2009</t>
  </si>
  <si>
    <t>CGEE x OECD — recursos naturais</t>
  </si>
  <si>
    <t>23 divisões do indicador</t>
  </si>
  <si>
    <t>Diferença 14/15 identificada e documentada</t>
  </si>
  <si>
    <t>OECD 2014 + CGEE Tabela 7.12</t>
  </si>
  <si>
    <t>Mantida a regra do CGEE; OECD passa a ser fonte conceitual de contraste, não lista operacional do TCC</t>
  </si>
  <si>
    <t>CGEE x universo RAIS do TCC</t>
  </si>
  <si>
    <t>4 divisões</t>
  </si>
  <si>
    <t>84, 94, 97 e 99 classificadas pela Eurostat, mas excluídas da amostra empresarial do CGEE</t>
  </si>
  <si>
    <t>Eurostat 2009 + CGEE p.233</t>
  </si>
  <si>
    <t>Criada aba específica e status diferenciado no mapa</t>
  </si>
  <si>
    <t>Nova conferência independente — controles internos</t>
  </si>
  <si>
    <t>87 linhas + 4 exceções de universo + controle de fontes</t>
  </si>
  <si>
    <t>Classificação substantiva permaneceu inalterada; foram corrigidas 3 inconsistências de auditoria/documentação</t>
  </si>
  <si>
    <t>IBGE + Eurostat + CGEE + OECD + EUR-Lex</t>
  </si>
  <si>
    <t>Corrigida a fórmula de status; removida F5 da CNAE 94; eliminada a contradição 2019/2006 na fonte NACE principal.</t>
  </si>
  <si>
    <t>Divisão CNAE</t>
  </si>
  <si>
    <t>NACE Rev.2 correspondente(s)</t>
  </si>
  <si>
    <t>Por que a categoria é essa?</t>
  </si>
  <si>
    <t>Evidência NACE/Eurostat</t>
  </si>
  <si>
    <t>Evidência IBGE</t>
  </si>
  <si>
    <t>1811</t>
  </si>
  <si>
    <t>Eurostat: divisão 18 é Baixa exceto NACE 18.2; este grupo brasileiro corresponde à parcela de impressão da NACE 18.1.</t>
  </si>
  <si>
    <t>Eurostat 2009: 18 - 18.2 = Baixa</t>
  </si>
  <si>
    <t>IBGE: 1811 ↔ classes 18.11-3, 18.12-1 e 18.13-0 (grupo 18.1)</t>
  </si>
  <si>
    <t>1812</t>
  </si>
  <si>
    <t>Eurostat: divisão 18 é Baixa exceto NACE 18.2; este grupo brasileiro corresponde aos serviços relacionados à impressão dentro da NACE 18.1.</t>
  </si>
  <si>
    <t>IBGE: 1812 ↔ classes 18.21-1 e 18.22-9 (grupo 18.2)</t>
  </si>
  <si>
    <t>A reprodução de mídia gravada é a exceção Média-baixa dentro da divisão 18.</t>
  </si>
  <si>
    <t>Eurostat 2009: NACE 18.2 = Média-baixa</t>
  </si>
  <si>
    <t>IBGE: 1820 ↔ classe 18.30-0 (grupo 18.3)</t>
  </si>
  <si>
    <t>2511</t>
  </si>
  <si>
    <t>Integra a divisão 25 excluída apenas a atividade de armas e munições (NACE 25.4).</t>
  </si>
  <si>
    <t>Eurostat 2009: 25 - 25.4 = Média-baixa</t>
  </si>
  <si>
    <t>IBGE: 2511 ↔ classes 25.11-0, 25.12-8 e 25.13-6 (grupo 25.1)</t>
  </si>
  <si>
    <t>25.2 e 25.3</t>
  </si>
  <si>
    <t>2512 / 2513</t>
  </si>
  <si>
    <t>Tanques/reservatórios e geradores de vapor pertencem ao conjunto 25 exceto NACE 25.4.</t>
  </si>
  <si>
    <t>IBGE: 2512 ↔ 25.21-7; 2513 ↔ 25.22-5 (ambas no grupo 25.2)</t>
  </si>
  <si>
    <t>25.5 e 25.6</t>
  </si>
  <si>
    <t>2591 / 2592</t>
  </si>
  <si>
    <t>Forjaria/estamparia e tratamento/usinação pertencem ao conjunto 25 exceto NACE 25.4.</t>
  </si>
  <si>
    <t>IBGE: 2591 ↔ 25.31-4/25.32-2; 2592 ↔ 25.39-0 (grupo 25.3)</t>
  </si>
  <si>
    <t>25.7</t>
  </si>
  <si>
    <t>2593</t>
  </si>
  <si>
    <t>Cutelaria, serralheria e ferramentas não são a NACE 25.4 europeia; pertencem à NACE 25.7 e ficam em Média-baixa.</t>
  </si>
  <si>
    <t>IBGE: 2593 ↔ classes 25.41-1, 25.42-0 e 25.43-8 (grupo 25.4)</t>
  </si>
  <si>
    <t>Armas e munições são a exceção Média-alta da divisão 25.</t>
  </si>
  <si>
    <t>Eurostat 2009: NACE 25.4 = Média-alta</t>
  </si>
  <si>
    <t>IBGE: 2520 ↔ classe 25.50-1 (grupo 25.5)</t>
  </si>
  <si>
    <t>2599</t>
  </si>
  <si>
    <t>Outros produtos de metal permanecem no conjunto 25 exceto NACE 25.4.</t>
  </si>
  <si>
    <t>IBGE: 2599 ↔ classes 25.91-8, 25.92-6, 25.93-4 e 25.99-3 (grupo 25.9)</t>
  </si>
  <si>
    <t>3011 / 3012</t>
  </si>
  <si>
    <t>Construção de embarcações é explicitamente Média-baixa.</t>
  </si>
  <si>
    <t>Eurostat 2009: NACE 30.1 = Média-baixa</t>
  </si>
  <si>
    <t>IBGE: 3011 ↔ 30.11-3; 3012 ↔ 30.12-1 (grupo 30.1)</t>
  </si>
  <si>
    <t>30.2</t>
  </si>
  <si>
    <t>3020</t>
  </si>
  <si>
    <t>Veículos ferroviários pertencem ao restante da divisão 30 depois de excluir 30.1 e 30.3 NACE.</t>
  </si>
  <si>
    <t>Eurostat 2009: NACE 30 - 30.1 - 30.3 = Média-alta</t>
  </si>
  <si>
    <t>IBGE: 3020 ↔ classes 30.31-8 e 30.32-6 (grupo 30.3)</t>
  </si>
  <si>
    <t>Aeronaves constituem a exceção de Alta tecnologia.</t>
  </si>
  <si>
    <t>Eurostat 2009: NACE 30.3 = Alta</t>
  </si>
  <si>
    <t>IBGE: 3030 ↔ classes 30.41-5 e 30.42-3 (grupo 30.4); CGEE Tabela 7.09 confirma 30.4 em Alta</t>
  </si>
  <si>
    <t>3040</t>
  </si>
  <si>
    <t>Veículos militares de combate pertencem ao restante da divisão 30; não são a NACE 30.3 de aeronaves.</t>
  </si>
  <si>
    <t>IBGE: 3040 ↔ classe 30.50-4 (grupo 30.5)</t>
  </si>
  <si>
    <t>3091 / 3092 / 3099</t>
  </si>
  <si>
    <t>Demais equipamentos de transporte pertencem ao restante da divisão 30.</t>
  </si>
  <si>
    <t>IBGE: 3091 ↔ 30.91-1; 3092 ↔ 30.92-0; 3099 ↔ 30.99-7 (grupo 30.9)</t>
  </si>
  <si>
    <t>3211 / 3212</t>
  </si>
  <si>
    <t>A divisão 32 é Baixa exceto NACE 32.5.</t>
  </si>
  <si>
    <t>Eurostat 2009: 32 - 32.5 = Baixa</t>
  </si>
  <si>
    <t>IBGE: 3211/3212 ↔ classes do grupo 32.1</t>
  </si>
  <si>
    <t>3220</t>
  </si>
  <si>
    <t>IBGE: 3220 ↔ classe 32.20-5 (grupo 32.2)</t>
  </si>
  <si>
    <t>3230</t>
  </si>
  <si>
    <t>IBGE: 3230 ↔ classe 32.30-2 (grupo 32.3)</t>
  </si>
  <si>
    <t>3240</t>
  </si>
  <si>
    <t>IBGE: 3240 ↔ classe 32.40-0 (grupo 32.4)</t>
  </si>
  <si>
    <t>Instrumentos médico-odontológicos são a exceção Média-alta da divisão 32.</t>
  </si>
  <si>
    <t>Eurostat 2009: NACE 32.5 = Média-alta</t>
  </si>
  <si>
    <t>IBGE: 3250 ↔ classe 32.50-7 (grupo 32.5); CGEE Tabela 7.09 confirma 32.5 em Média-alta</t>
  </si>
  <si>
    <t>3290</t>
  </si>
  <si>
    <t>IBGE: 3290 ↔ classes 32.91-4, 32.92-2 e 32.99-0 (grupo 32.9)</t>
  </si>
  <si>
    <t>Eurostat 2009</t>
  </si>
  <si>
    <t>Situação no CGEE Parte III</t>
  </si>
  <si>
    <t>Tratamento no TCC</t>
  </si>
  <si>
    <t>Fonte Eurostat</t>
  </si>
  <si>
    <t>Fonte CGEE</t>
  </si>
  <si>
    <t>KIS / OSIC</t>
  </si>
  <si>
    <t>CGEE informa que a divisão 84 não é considerada na análise das entidades empresariais.</t>
  </si>
  <si>
    <t>Classificar como KIS / OSIC porque o TCC trabalha com o universo de vínculos formais, não apenas entidades empresariais.</t>
  </si>
  <si>
    <t>Eurostat 2009 / Annex 3</t>
  </si>
  <si>
    <t>CGEE 2016, p. 233</t>
  </si>
  <si>
    <t>LKIS / OSMIC</t>
  </si>
  <si>
    <t>CGEE informa que atividades de organizações associativas não são consideradas na análise das entidades empresariais.</t>
  </si>
  <si>
    <t>Classificar como LKIS / OSMIC pela Eurostat; deixar explícito que é uma extensão do universo empírico em relação ao CGEE.</t>
  </si>
  <si>
    <t>CGEE informa que serviços domésticos não são considerados na análise das entidades empresariais.</t>
  </si>
  <si>
    <t>Classificar como LKIS / OSMIC pela Eurostat no universo RAIS do TCC.</t>
  </si>
  <si>
    <t>CGEE informa que organismos internacionais e instituições extraterritoriais não são considerados na análise das entidades empresariais.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</si>
</sst>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5"/>
      <color rgb="FFFFFFFF"/>
      <name val="Carlito"/>
    </font>
    <font>
      <b/>
      <sz val="11"/>
      <name val="Carlito"/>
    </font>
    <font>
      <b/>
      <sz val="11"/>
      <color rgb="FFFFFFFF"/>
      <name val="Carlito"/>
    </font>
    <font>
      <sz val="11"/>
      <color rgb="FF000000"/>
      <name val="Carlito"/>
    </font>
  </fonts>
  <fills count="22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1F4E78"/>
      </patternFill>
    </fill>
    <fill>
      <patternFill patternType="solid">
        <fgColor rgb="FF548235"/>
      </patternFill>
    </fill>
    <fill>
      <patternFill patternType="solid">
        <fgColor rgb="FF7030A0"/>
      </patternFill>
    </fill>
    <fill>
      <patternFill patternType="solid">
        <fgColor rgb="FF806000"/>
      </patternFill>
    </fill>
    <fill>
      <patternFill patternType="solid">
        <fgColor rgb="FFFFD966"/>
      </patternFill>
    </fill>
    <fill>
      <patternFill patternType="solid">
        <fgColor rgb="FF4472C4"/>
      </patternFill>
    </fill>
    <fill>
      <patternFill patternType="solid">
        <fgColor rgb="FFFFFFFF"/>
      </patternFill>
    </fill>
    <fill>
      <patternFill patternType="solid">
        <fgColor rgb="FFFCE4D6"/>
      </patternFill>
    </fill>
    <fill>
      <patternFill patternType="solid">
        <fgColor rgb="FFE2F0D9"/>
      </patternFill>
    </fill>
    <fill>
      <patternFill patternType="solid">
        <fgColor rgb="FFDDEBF7"/>
      </patternFill>
    </fill>
    <fill>
      <patternFill patternType="solid">
        <fgColor rgb="FF8064A2"/>
      </patternFill>
    </fill>
    <fill>
      <patternFill patternType="solid">
        <fgColor rgb="FFC00000"/>
      </patternFill>
    </fill>
    <fill>
      <patternFill patternType="solid">
        <fgColor rgb="FFFFFFFF"/>
      </patternFill>
    </fill>
    <fill>
      <patternFill patternType="solid">
        <fgColor rgb="FFC65911"/>
      </patternFill>
    </fill>
    <fill>
      <patternFill patternType="solid">
        <fgColor rgb="FF7F6000"/>
      </patternFill>
    </fill>
    <fill>
      <patternFill patternType="solid">
        <fgColor rgb="FF7F6000"/>
      </patternFill>
    </fill>
    <fill>
      <patternFill patternType="solid">
        <fgColor rgb="FF9E480E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wrapText="1"/>
    </xf>
    <xf numFmtId="0" fontId="2" fillId="3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3" fillId="5" borderId="0" xfId="0" applyFont="1" applyFill="1" applyAlignment="1">
      <alignment vertical="top" wrapText="1"/>
    </xf>
    <xf numFmtId="0" fontId="3" fillId="6" borderId="0" xfId="0" applyFont="1" applyFill="1" applyAlignment="1">
      <alignment vertical="top" wrapText="1"/>
    </xf>
    <xf numFmtId="0" fontId="3" fillId="7" borderId="0" xfId="0" applyFont="1" applyFill="1" applyAlignment="1">
      <alignment vertical="top" wrapText="1"/>
    </xf>
    <xf numFmtId="0" fontId="3" fillId="8" borderId="0" xfId="0" applyFont="1" applyFill="1" applyAlignment="1">
      <alignment vertical="top" wrapText="1"/>
    </xf>
    <xf numFmtId="0" fontId="2" fillId="9" borderId="0" xfId="0" applyFont="1" applyFill="1" applyAlignment="1">
      <alignment vertical="top" wrapText="1"/>
    </xf>
    <xf numFmtId="0" fontId="3" fillId="10" borderId="0" xfId="0" applyFont="1" applyFill="1" applyAlignment="1">
      <alignment vertical="top" wrapText="1"/>
    </xf>
    <xf numFmtId="0" fontId="0" fillId="11" borderId="0" xfId="0" applyFill="1" applyAlignment="1">
      <alignment vertical="top" wrapText="1"/>
    </xf>
    <xf numFmtId="0" fontId="0" fillId="11" borderId="1" xfId="0" applyFill="1" applyBorder="1" applyAlignment="1">
      <alignment vertical="top" wrapText="1"/>
    </xf>
    <xf numFmtId="0" fontId="0" fillId="12" borderId="0" xfId="0" applyFill="1" applyAlignment="1">
      <alignment vertical="top" wrapText="1"/>
    </xf>
    <xf numFmtId="0" fontId="0" fillId="4" borderId="0" xfId="0" applyFill="1" applyAlignment="1">
      <alignment vertical="top" wrapText="1"/>
    </xf>
    <xf numFmtId="0" fontId="0" fillId="13" borderId="0" xfId="0" applyFill="1" applyAlignment="1">
      <alignment vertical="top" wrapText="1"/>
    </xf>
    <xf numFmtId="0" fontId="0" fillId="14" borderId="0" xfId="0" applyFill="1" applyAlignment="1">
      <alignment vertical="top" wrapText="1"/>
    </xf>
    <xf numFmtId="0" fontId="0" fillId="14" borderId="1" xfId="0" applyFill="1" applyBorder="1" applyAlignment="1">
      <alignment vertical="top" wrapText="1"/>
    </xf>
    <xf numFmtId="0" fontId="3" fillId="15" borderId="0" xfId="0" applyFont="1" applyFill="1" applyAlignment="1">
      <alignment vertical="top" wrapText="1"/>
    </xf>
    <xf numFmtId="0" fontId="3" fillId="16" borderId="0" xfId="0" applyFont="1" applyFill="1" applyAlignment="1">
      <alignment vertical="top" wrapText="1"/>
    </xf>
    <xf numFmtId="0" fontId="4" fillId="17" borderId="0" xfId="0" applyFont="1" applyFill="1" applyAlignment="1">
      <alignment vertical="top" wrapText="1"/>
    </xf>
    <xf numFmtId="0" fontId="3" fillId="2" borderId="0" xfId="0" applyFont="1" applyFill="1" applyAlignment="1">
      <alignment vertical="top" wrapText="1"/>
    </xf>
    <xf numFmtId="0" fontId="3" fillId="18" borderId="0" xfId="0" applyFont="1" applyFill="1" applyAlignment="1">
      <alignment vertical="top" wrapText="1"/>
    </xf>
    <xf numFmtId="0" fontId="3" fillId="19" borderId="0" xfId="0" applyFont="1" applyFill="1" applyAlignment="1">
      <alignment vertical="top" wrapText="1"/>
    </xf>
    <xf numFmtId="0" fontId="3" fillId="20" borderId="0" xfId="0" applyFont="1" applyFill="1" applyAlignment="1">
      <alignment vertical="top" wrapText="1"/>
    </xf>
    <xf numFmtId="0" fontId="3" fillId="21" borderId="0" xfId="0" applyFont="1" applyFill="1" applyAlignment="1">
      <alignment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4" borderId="0" xfId="0" applyFont="1" applyFill="1" applyAlignment="1">
      <alignment wrapText="1"/>
    </xf>
  </cellXfs>
  <cellStyles count="1">
    <cellStyle name="Normal" xfId="0" builtinId="0"/>
  </cellStyles>
  <dxfs count="2">
    <dxf>
      <fill>
        <patternFill>
          <bgColor rgb="FFE2F0D9"/>
        </patternFill>
      </fill>
    </dxf>
    <dxf>
      <font>
        <b/>
      </font>
      <fill>
        <patternFill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apaCNAEAuditado" displayName="MapaCNAEAuditado" ref="A1:L88" totalsRowShown="0">
  <tableColumns count="12">
    <tableColumn id="1" xr3:uid="{00000000-0010-0000-0000-000001000000}" name="CNAE 2 dígitos"/>
    <tableColumn id="2" xr3:uid="{00000000-0010-0000-0000-000002000000}" name="Seção"/>
    <tableColumn id="3" xr3:uid="{00000000-0010-0000-0000-000003000000}" name="Denominação da seção (CNAE 2.0)"/>
    <tableColumn id="4" xr3:uid="{00000000-0010-0000-0000-000004000000}" name="Denominação oficial da divisão"/>
    <tableColumn id="5" xr3:uid="{00000000-0010-0000-0000-000005000000}" name="Intensidade tecnológica — indústria"/>
    <tableColumn id="6" xr3:uid="{00000000-0010-0000-0000-000006000000}" name="Nível mínimo necessário"/>
    <tableColumn id="7" xr3:uid="{00000000-0010-0000-0000-000007000000}" name="Regra industrial"/>
    <tableColumn id="8" xr3:uid="{00000000-0010-0000-0000-000008000000}" name="Intensidade de conhecimento — serviços"/>
    <tableColumn id="9" xr3:uid="{00000000-0010-0000-0000-000009000000}" name="Subgrupo de serviços"/>
    <tableColumn id="10" xr3:uid="{00000000-0010-0000-0000-00000A000000}" name="Baseada em recursos naturais/primários?"/>
    <tableColumn id="11" xr3:uid="{00000000-0010-0000-0000-00000B000000}" name="Fontes da regra"/>
    <tableColumn id="12" xr3:uid="{00000000-0010-0000-0000-00000C000000}" name="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egrasIndustria" displayName="RegrasIndustria" ref="A1:F23" totalsRowShown="0">
  <tableColumns count="6">
    <tableColumn id="1" xr3:uid="{00000000-0010-0000-0100-000001000000}" name="Categoria tecnológica"/>
    <tableColumn id="2" xr3:uid="{00000000-0010-0000-0100-000002000000}" name="Divisão"/>
    <tableColumn id="3" xr3:uid="{00000000-0010-0000-0100-000003000000}" name="Cobertura CNAE brasileira"/>
    <tableColumn id="4" xr3:uid="{00000000-0010-0000-0100-000004000000}" name="Código(s) operacional(is)"/>
    <tableColumn id="5" xr3:uid="{00000000-0010-0000-0100-000005000000}" name="Atividade resumida"/>
    <tableColumn id="6" xr3:uid="{00000000-0010-0000-0100-000006000000}" name="Base da traduçã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AuditoriaGruposMistos" displayName="AuditoriaGruposMistos" ref="A1:F21" totalsRowShown="0">
  <tableColumns count="6">
    <tableColumn id="1" xr3:uid="{00000000-0010-0000-0200-000001000000}" name="Divisão"/>
    <tableColumn id="2" xr3:uid="{00000000-0010-0000-0200-000002000000}" name="Grupo CNAE"/>
    <tableColumn id="3" xr3:uid="{00000000-0010-0000-0200-000003000000}" name="Denominação oficial do grupo"/>
    <tableColumn id="4" xr3:uid="{00000000-0010-0000-0200-000004000000}" name="Categoria final"/>
    <tableColumn id="5" xr3:uid="{00000000-0010-0000-0200-000005000000}" name="Justificativa"/>
    <tableColumn id="6" xr3:uid="{00000000-0010-0000-0200-000006000000}" name="Fon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AuditoriaDenominacoes" displayName="AuditoriaDenominacoes" ref="A1:E88" totalsRowShown="0">
  <tableColumns count="5">
    <tableColumn id="1" xr3:uid="{00000000-0010-0000-0300-000001000000}" name="CNAE"/>
    <tableColumn id="2" xr3:uid="{00000000-0010-0000-0300-000002000000}" name="Seção"/>
    <tableColumn id="3" xr3:uid="{00000000-0010-0000-0300-000003000000}" name="Denominação CNAE 2.0 usada no quadro"/>
    <tableColumn id="4" xr3:uid="{00000000-0010-0000-0300-000004000000}" name="Resultado da conferência"/>
    <tableColumn id="5" xr3:uid="{00000000-0010-0000-0300-000005000000}" name="Fonte ofici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workbookViewId="0">
      <selection sqref="A1:F1"/>
    </sheetView>
  </sheetViews>
  <sheetFormatPr defaultRowHeight="13.8"/>
  <cols>
    <col min="1" max="1" width="24" customWidth="1"/>
    <col min="2" max="2" width="22" customWidth="1"/>
    <col min="3" max="3" width="52" customWidth="1"/>
    <col min="4" max="4" width="38" customWidth="1"/>
    <col min="5" max="5" width="12" customWidth="1"/>
    <col min="6" max="6" width="64" customWidth="1"/>
  </cols>
  <sheetData>
    <row r="1" spans="1:6" ht="12.3" customHeight="1">
      <c r="A1" s="25" t="s">
        <v>0</v>
      </c>
      <c r="B1" s="26"/>
      <c r="C1" s="26"/>
      <c r="D1" s="26"/>
      <c r="E1" s="26"/>
      <c r="F1" s="26"/>
    </row>
    <row r="3" spans="1:6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 ht="41.4">
      <c r="A4" s="3" t="s">
        <v>7</v>
      </c>
      <c r="B4" s="3" t="s">
        <v>8</v>
      </c>
      <c r="C4" s="3" t="s">
        <v>9</v>
      </c>
      <c r="D4" s="3" t="s">
        <v>10</v>
      </c>
      <c r="E4" s="3" t="s">
        <v>11</v>
      </c>
      <c r="F4" s="3" t="s">
        <v>12</v>
      </c>
    </row>
    <row r="5" spans="1:6" ht="55.2">
      <c r="A5" s="3" t="s">
        <v>13</v>
      </c>
      <c r="B5" s="3" t="s">
        <v>8</v>
      </c>
      <c r="C5" s="3" t="s">
        <v>14</v>
      </c>
      <c r="D5" s="3" t="s">
        <v>15</v>
      </c>
      <c r="E5" s="3" t="s">
        <v>11</v>
      </c>
      <c r="F5" s="3" t="s">
        <v>601</v>
      </c>
    </row>
    <row r="6" spans="1:6">
      <c r="A6" s="3" t="s">
        <v>16</v>
      </c>
      <c r="B6" s="3" t="s">
        <v>8</v>
      </c>
      <c r="C6" s="3" t="s">
        <v>17</v>
      </c>
      <c r="D6" s="3" t="s">
        <v>18</v>
      </c>
      <c r="E6" s="3" t="s">
        <v>11</v>
      </c>
      <c r="F6" s="3" t="s">
        <v>19</v>
      </c>
    </row>
    <row r="7" spans="1:6" ht="69">
      <c r="A7" s="3" t="s">
        <v>20</v>
      </c>
      <c r="B7" s="3" t="s">
        <v>8</v>
      </c>
      <c r="C7" s="3" t="s">
        <v>21</v>
      </c>
      <c r="D7" s="3" t="s">
        <v>22</v>
      </c>
      <c r="E7" s="3" t="s">
        <v>11</v>
      </c>
      <c r="F7" s="3" t="s">
        <v>602</v>
      </c>
    </row>
    <row r="8" spans="1:6" ht="55.2">
      <c r="A8" s="3" t="s">
        <v>23</v>
      </c>
      <c r="B8" s="3" t="s">
        <v>24</v>
      </c>
      <c r="C8" s="3" t="s">
        <v>25</v>
      </c>
      <c r="D8" s="3" t="s">
        <v>26</v>
      </c>
      <c r="E8" s="3" t="s">
        <v>11</v>
      </c>
      <c r="F8" s="3" t="s">
        <v>603</v>
      </c>
    </row>
    <row r="10" spans="1:6" ht="17.100000000000001" customHeight="1">
      <c r="A10" s="27" t="s">
        <v>27</v>
      </c>
      <c r="B10" s="26"/>
      <c r="C10" s="26"/>
      <c r="D10" s="26"/>
      <c r="E10" s="26"/>
      <c r="F10" s="26"/>
    </row>
  </sheetData>
  <mergeCells count="2">
    <mergeCell ref="A1:F1"/>
    <mergeCell ref="A10:F1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88"/>
  <sheetViews>
    <sheetView workbookViewId="0"/>
  </sheetViews>
  <sheetFormatPr defaultRowHeight="13.8"/>
  <cols>
    <col min="1" max="1" width="12" customWidth="1"/>
    <col min="2" max="2" width="7" customWidth="1"/>
    <col min="3" max="3" width="38" customWidth="1"/>
    <col min="4" max="4" width="50" customWidth="1"/>
    <col min="5" max="5" width="34" customWidth="1"/>
    <col min="6" max="6" width="26" customWidth="1"/>
    <col min="7" max="7" width="55" customWidth="1"/>
    <col min="8" max="8" width="34" customWidth="1"/>
    <col min="9" max="9" width="55" customWidth="1"/>
    <col min="10" max="10" width="22" customWidth="1"/>
    <col min="11" max="11" width="18" customWidth="1"/>
    <col min="12" max="12" width="28" customWidth="1"/>
  </cols>
  <sheetData>
    <row r="1" spans="1:12" ht="27.6">
      <c r="A1" s="4" t="s">
        <v>28</v>
      </c>
      <c r="B1" s="4" t="s">
        <v>29</v>
      </c>
      <c r="C1" s="4" t="s">
        <v>30</v>
      </c>
      <c r="D1" s="4" t="s">
        <v>31</v>
      </c>
      <c r="E1" s="4" t="s">
        <v>32</v>
      </c>
      <c r="F1" s="4" t="s">
        <v>33</v>
      </c>
      <c r="G1" s="4" t="s">
        <v>34</v>
      </c>
      <c r="H1" s="4" t="s">
        <v>35</v>
      </c>
      <c r="I1" s="4" t="s">
        <v>36</v>
      </c>
      <c r="J1" s="4" t="s">
        <v>37</v>
      </c>
      <c r="K1" s="4" t="s">
        <v>38</v>
      </c>
      <c r="L1" s="4" t="s">
        <v>2</v>
      </c>
    </row>
    <row r="2" spans="1:12" ht="27.6">
      <c r="A2" s="3" t="s">
        <v>39</v>
      </c>
      <c r="B2" s="3" t="s">
        <v>40</v>
      </c>
      <c r="C2" s="3" t="s">
        <v>41</v>
      </c>
      <c r="D2" s="3" t="s">
        <v>42</v>
      </c>
      <c r="E2" s="3" t="s">
        <v>43</v>
      </c>
      <c r="F2" s="3" t="s">
        <v>43</v>
      </c>
      <c r="G2" s="3" t="s">
        <v>44</v>
      </c>
      <c r="H2" s="3" t="s">
        <v>43</v>
      </c>
      <c r="I2" s="3" t="s">
        <v>43</v>
      </c>
      <c r="J2" s="3" t="s">
        <v>45</v>
      </c>
      <c r="K2" s="3" t="s">
        <v>604</v>
      </c>
      <c r="L2" s="3" t="s">
        <v>8</v>
      </c>
    </row>
    <row r="3" spans="1:12" ht="27.6">
      <c r="A3" s="3" t="s">
        <v>46</v>
      </c>
      <c r="B3" s="3" t="s">
        <v>40</v>
      </c>
      <c r="C3" s="3" t="s">
        <v>41</v>
      </c>
      <c r="D3" s="3" t="s">
        <v>47</v>
      </c>
      <c r="E3" s="3" t="s">
        <v>43</v>
      </c>
      <c r="F3" s="3" t="s">
        <v>43</v>
      </c>
      <c r="G3" s="3" t="s">
        <v>44</v>
      </c>
      <c r="H3" s="3" t="s">
        <v>43</v>
      </c>
      <c r="I3" s="3" t="s">
        <v>43</v>
      </c>
      <c r="J3" s="3" t="s">
        <v>45</v>
      </c>
      <c r="K3" s="3" t="s">
        <v>604</v>
      </c>
      <c r="L3" s="3" t="s">
        <v>8</v>
      </c>
    </row>
    <row r="4" spans="1:12" ht="27.6">
      <c r="A4" s="3" t="s">
        <v>48</v>
      </c>
      <c r="B4" s="3" t="s">
        <v>40</v>
      </c>
      <c r="C4" s="3" t="s">
        <v>41</v>
      </c>
      <c r="D4" s="3" t="s">
        <v>49</v>
      </c>
      <c r="E4" s="3" t="s">
        <v>43</v>
      </c>
      <c r="F4" s="3" t="s">
        <v>43</v>
      </c>
      <c r="G4" s="3" t="s">
        <v>44</v>
      </c>
      <c r="H4" s="3" t="s">
        <v>43</v>
      </c>
      <c r="I4" s="3" t="s">
        <v>43</v>
      </c>
      <c r="J4" s="3" t="s">
        <v>45</v>
      </c>
      <c r="K4" s="3" t="s">
        <v>604</v>
      </c>
      <c r="L4" s="3" t="s">
        <v>8</v>
      </c>
    </row>
    <row r="5" spans="1:12">
      <c r="A5" s="3" t="s">
        <v>50</v>
      </c>
      <c r="B5" s="3" t="s">
        <v>51</v>
      </c>
      <c r="C5" s="3" t="s">
        <v>52</v>
      </c>
      <c r="D5" s="3" t="s">
        <v>53</v>
      </c>
      <c r="E5" s="3" t="s">
        <v>43</v>
      </c>
      <c r="F5" s="3" t="s">
        <v>43</v>
      </c>
      <c r="G5" s="3" t="s">
        <v>44</v>
      </c>
      <c r="H5" s="3" t="s">
        <v>43</v>
      </c>
      <c r="I5" s="3" t="s">
        <v>43</v>
      </c>
      <c r="J5" s="3" t="s">
        <v>45</v>
      </c>
      <c r="K5" s="3" t="s">
        <v>604</v>
      </c>
      <c r="L5" s="3" t="s">
        <v>8</v>
      </c>
    </row>
    <row r="6" spans="1:12">
      <c r="A6" s="3" t="s">
        <v>54</v>
      </c>
      <c r="B6" s="3" t="s">
        <v>51</v>
      </c>
      <c r="C6" s="3" t="s">
        <v>52</v>
      </c>
      <c r="D6" s="3" t="s">
        <v>55</v>
      </c>
      <c r="E6" s="3" t="s">
        <v>43</v>
      </c>
      <c r="F6" s="3" t="s">
        <v>43</v>
      </c>
      <c r="G6" s="3" t="s">
        <v>44</v>
      </c>
      <c r="H6" s="3" t="s">
        <v>43</v>
      </c>
      <c r="I6" s="3" t="s">
        <v>43</v>
      </c>
      <c r="J6" s="3" t="s">
        <v>45</v>
      </c>
      <c r="K6" s="3" t="s">
        <v>604</v>
      </c>
      <c r="L6" s="3" t="s">
        <v>8</v>
      </c>
    </row>
    <row r="7" spans="1:12">
      <c r="A7" s="3" t="s">
        <v>56</v>
      </c>
      <c r="B7" s="3" t="s">
        <v>51</v>
      </c>
      <c r="C7" s="3" t="s">
        <v>52</v>
      </c>
      <c r="D7" s="3" t="s">
        <v>57</v>
      </c>
      <c r="E7" s="3" t="s">
        <v>43</v>
      </c>
      <c r="F7" s="3" t="s">
        <v>43</v>
      </c>
      <c r="G7" s="3" t="s">
        <v>44</v>
      </c>
      <c r="H7" s="3" t="s">
        <v>43</v>
      </c>
      <c r="I7" s="3" t="s">
        <v>43</v>
      </c>
      <c r="J7" s="3" t="s">
        <v>45</v>
      </c>
      <c r="K7" s="3" t="s">
        <v>604</v>
      </c>
      <c r="L7" s="3" t="s">
        <v>8</v>
      </c>
    </row>
    <row r="8" spans="1:12">
      <c r="A8" s="3" t="s">
        <v>58</v>
      </c>
      <c r="B8" s="3" t="s">
        <v>51</v>
      </c>
      <c r="C8" s="3" t="s">
        <v>52</v>
      </c>
      <c r="D8" s="3" t="s">
        <v>59</v>
      </c>
      <c r="E8" s="3" t="s">
        <v>43</v>
      </c>
      <c r="F8" s="3" t="s">
        <v>43</v>
      </c>
      <c r="G8" s="3" t="s">
        <v>44</v>
      </c>
      <c r="H8" s="3" t="s">
        <v>43</v>
      </c>
      <c r="I8" s="3" t="s">
        <v>43</v>
      </c>
      <c r="J8" s="3" t="s">
        <v>45</v>
      </c>
      <c r="K8" s="3" t="s">
        <v>604</v>
      </c>
      <c r="L8" s="3" t="s">
        <v>8</v>
      </c>
    </row>
    <row r="9" spans="1:12">
      <c r="A9" s="3" t="s">
        <v>60</v>
      </c>
      <c r="B9" s="3" t="s">
        <v>51</v>
      </c>
      <c r="C9" s="3" t="s">
        <v>52</v>
      </c>
      <c r="D9" s="3" t="s">
        <v>61</v>
      </c>
      <c r="E9" s="3" t="s">
        <v>43</v>
      </c>
      <c r="F9" s="3" t="s">
        <v>43</v>
      </c>
      <c r="G9" s="3" t="s">
        <v>44</v>
      </c>
      <c r="H9" s="3" t="s">
        <v>43</v>
      </c>
      <c r="I9" s="3" t="s">
        <v>43</v>
      </c>
      <c r="J9" s="3" t="s">
        <v>45</v>
      </c>
      <c r="K9" s="3" t="s">
        <v>604</v>
      </c>
      <c r="L9" s="3" t="s">
        <v>8</v>
      </c>
    </row>
    <row r="10" spans="1:12" ht="27.6">
      <c r="A10" s="3" t="s">
        <v>62</v>
      </c>
      <c r="B10" s="3" t="s">
        <v>63</v>
      </c>
      <c r="C10" s="3" t="s">
        <v>64</v>
      </c>
      <c r="D10" s="3" t="s">
        <v>65</v>
      </c>
      <c r="E10" s="3" t="s">
        <v>66</v>
      </c>
      <c r="F10" s="3" t="s">
        <v>67</v>
      </c>
      <c r="G10" s="3" t="s">
        <v>68</v>
      </c>
      <c r="H10" s="3" t="s">
        <v>43</v>
      </c>
      <c r="I10" s="3" t="s">
        <v>43</v>
      </c>
      <c r="J10" s="3" t="s">
        <v>45</v>
      </c>
      <c r="K10" s="3" t="s">
        <v>605</v>
      </c>
      <c r="L10" s="3" t="s">
        <v>8</v>
      </c>
    </row>
    <row r="11" spans="1:12" ht="27.6">
      <c r="A11" s="3" t="s">
        <v>69</v>
      </c>
      <c r="B11" s="3" t="s">
        <v>63</v>
      </c>
      <c r="C11" s="3" t="s">
        <v>64</v>
      </c>
      <c r="D11" s="3" t="s">
        <v>70</v>
      </c>
      <c r="E11" s="3" t="s">
        <v>66</v>
      </c>
      <c r="F11" s="3" t="s">
        <v>67</v>
      </c>
      <c r="G11" s="3" t="s">
        <v>68</v>
      </c>
      <c r="H11" s="3" t="s">
        <v>43</v>
      </c>
      <c r="I11" s="3" t="s">
        <v>43</v>
      </c>
      <c r="J11" s="3" t="s">
        <v>45</v>
      </c>
      <c r="K11" s="3" t="s">
        <v>605</v>
      </c>
      <c r="L11" s="3" t="s">
        <v>8</v>
      </c>
    </row>
    <row r="12" spans="1:12" ht="27.6">
      <c r="A12" s="3" t="s">
        <v>71</v>
      </c>
      <c r="B12" s="3" t="s">
        <v>63</v>
      </c>
      <c r="C12" s="3" t="s">
        <v>64</v>
      </c>
      <c r="D12" s="3" t="s">
        <v>72</v>
      </c>
      <c r="E12" s="3" t="s">
        <v>66</v>
      </c>
      <c r="F12" s="3" t="s">
        <v>67</v>
      </c>
      <c r="G12" s="3" t="s">
        <v>68</v>
      </c>
      <c r="H12" s="3" t="s">
        <v>43</v>
      </c>
      <c r="I12" s="3" t="s">
        <v>43</v>
      </c>
      <c r="J12" s="3" t="s">
        <v>45</v>
      </c>
      <c r="K12" s="3" t="s">
        <v>605</v>
      </c>
      <c r="L12" s="3" t="s">
        <v>8</v>
      </c>
    </row>
    <row r="13" spans="1:12" ht="27.6">
      <c r="A13" s="3" t="s">
        <v>73</v>
      </c>
      <c r="B13" s="3" t="s">
        <v>63</v>
      </c>
      <c r="C13" s="3" t="s">
        <v>64</v>
      </c>
      <c r="D13" s="3" t="s">
        <v>74</v>
      </c>
      <c r="E13" s="3" t="s">
        <v>66</v>
      </c>
      <c r="F13" s="3" t="s">
        <v>67</v>
      </c>
      <c r="G13" s="3" t="s">
        <v>68</v>
      </c>
      <c r="H13" s="3" t="s">
        <v>43</v>
      </c>
      <c r="I13" s="3" t="s">
        <v>43</v>
      </c>
      <c r="J13" s="3" t="s">
        <v>75</v>
      </c>
      <c r="K13" s="3" t="s">
        <v>605</v>
      </c>
      <c r="L13" s="3" t="s">
        <v>8</v>
      </c>
    </row>
    <row r="14" spans="1:12" ht="27.6">
      <c r="A14" s="3" t="s">
        <v>76</v>
      </c>
      <c r="B14" s="3" t="s">
        <v>63</v>
      </c>
      <c r="C14" s="3" t="s">
        <v>64</v>
      </c>
      <c r="D14" s="3" t="s">
        <v>77</v>
      </c>
      <c r="E14" s="3" t="s">
        <v>66</v>
      </c>
      <c r="F14" s="3" t="s">
        <v>67</v>
      </c>
      <c r="G14" s="3" t="s">
        <v>68</v>
      </c>
      <c r="H14" s="3" t="s">
        <v>43</v>
      </c>
      <c r="I14" s="3" t="s">
        <v>43</v>
      </c>
      <c r="J14" s="3" t="s">
        <v>45</v>
      </c>
      <c r="K14" s="3" t="s">
        <v>606</v>
      </c>
      <c r="L14" s="3" t="s">
        <v>8</v>
      </c>
    </row>
    <row r="15" spans="1:12" ht="27.6">
      <c r="A15" s="3" t="s">
        <v>78</v>
      </c>
      <c r="B15" s="3" t="s">
        <v>63</v>
      </c>
      <c r="C15" s="3" t="s">
        <v>64</v>
      </c>
      <c r="D15" s="3" t="s">
        <v>79</v>
      </c>
      <c r="E15" s="3" t="s">
        <v>66</v>
      </c>
      <c r="F15" s="3" t="s">
        <v>67</v>
      </c>
      <c r="G15" s="3" t="s">
        <v>68</v>
      </c>
      <c r="H15" s="3" t="s">
        <v>43</v>
      </c>
      <c r="I15" s="3" t="s">
        <v>43</v>
      </c>
      <c r="J15" s="3" t="s">
        <v>45</v>
      </c>
      <c r="K15" s="3" t="s">
        <v>606</v>
      </c>
      <c r="L15" s="3" t="s">
        <v>8</v>
      </c>
    </row>
    <row r="16" spans="1:12" ht="27.6">
      <c r="A16" s="3" t="s">
        <v>80</v>
      </c>
      <c r="B16" s="3" t="s">
        <v>63</v>
      </c>
      <c r="C16" s="3" t="s">
        <v>64</v>
      </c>
      <c r="D16" s="3" t="s">
        <v>81</v>
      </c>
      <c r="E16" s="3" t="s">
        <v>66</v>
      </c>
      <c r="F16" s="3" t="s">
        <v>67</v>
      </c>
      <c r="G16" s="3" t="s">
        <v>68</v>
      </c>
      <c r="H16" s="3" t="s">
        <v>43</v>
      </c>
      <c r="I16" s="3" t="s">
        <v>43</v>
      </c>
      <c r="J16" s="3" t="s">
        <v>45</v>
      </c>
      <c r="K16" s="3" t="s">
        <v>605</v>
      </c>
      <c r="L16" s="3" t="s">
        <v>8</v>
      </c>
    </row>
    <row r="17" spans="1:12" ht="27.6">
      <c r="A17" s="3" t="s">
        <v>82</v>
      </c>
      <c r="B17" s="3" t="s">
        <v>63</v>
      </c>
      <c r="C17" s="3" t="s">
        <v>64</v>
      </c>
      <c r="D17" s="3" t="s">
        <v>83</v>
      </c>
      <c r="E17" s="3" t="s">
        <v>66</v>
      </c>
      <c r="F17" s="3" t="s">
        <v>67</v>
      </c>
      <c r="G17" s="3" t="s">
        <v>68</v>
      </c>
      <c r="H17" s="3" t="s">
        <v>43</v>
      </c>
      <c r="I17" s="3" t="s">
        <v>43</v>
      </c>
      <c r="J17" s="3" t="s">
        <v>45</v>
      </c>
      <c r="K17" s="3" t="s">
        <v>605</v>
      </c>
      <c r="L17" s="3" t="s">
        <v>8</v>
      </c>
    </row>
    <row r="18" spans="1:12" ht="27.6">
      <c r="A18" s="3" t="s">
        <v>84</v>
      </c>
      <c r="B18" s="3" t="s">
        <v>63</v>
      </c>
      <c r="C18" s="3" t="s">
        <v>64</v>
      </c>
      <c r="D18" s="3" t="s">
        <v>85</v>
      </c>
      <c r="E18" s="3" t="s">
        <v>86</v>
      </c>
      <c r="F18" s="3" t="s">
        <v>87</v>
      </c>
      <c r="G18" s="3" t="s">
        <v>88</v>
      </c>
      <c r="H18" s="3" t="s">
        <v>43</v>
      </c>
      <c r="I18" s="3" t="s">
        <v>43</v>
      </c>
      <c r="J18" s="3" t="s">
        <v>75</v>
      </c>
      <c r="K18" s="3" t="s">
        <v>605</v>
      </c>
      <c r="L18" s="3" t="s">
        <v>89</v>
      </c>
    </row>
    <row r="19" spans="1:12" ht="27.6">
      <c r="A19" s="3" t="s">
        <v>90</v>
      </c>
      <c r="B19" s="3" t="s">
        <v>63</v>
      </c>
      <c r="C19" s="3" t="s">
        <v>64</v>
      </c>
      <c r="D19" s="3" t="s">
        <v>91</v>
      </c>
      <c r="E19" s="3" t="s">
        <v>92</v>
      </c>
      <c r="F19" s="3" t="s">
        <v>67</v>
      </c>
      <c r="G19" s="3" t="s">
        <v>68</v>
      </c>
      <c r="H19" s="3" t="s">
        <v>43</v>
      </c>
      <c r="I19" s="3" t="s">
        <v>43</v>
      </c>
      <c r="J19" s="3" t="s">
        <v>45</v>
      </c>
      <c r="K19" s="3" t="s">
        <v>605</v>
      </c>
      <c r="L19" s="3" t="s">
        <v>8</v>
      </c>
    </row>
    <row r="20" spans="1:12" ht="27.6">
      <c r="A20" s="3" t="s">
        <v>93</v>
      </c>
      <c r="B20" s="3" t="s">
        <v>63</v>
      </c>
      <c r="C20" s="3" t="s">
        <v>64</v>
      </c>
      <c r="D20" s="3" t="s">
        <v>94</v>
      </c>
      <c r="E20" s="3" t="s">
        <v>95</v>
      </c>
      <c r="F20" s="3" t="s">
        <v>67</v>
      </c>
      <c r="G20" s="3" t="s">
        <v>68</v>
      </c>
      <c r="H20" s="3" t="s">
        <v>43</v>
      </c>
      <c r="I20" s="3" t="s">
        <v>43</v>
      </c>
      <c r="J20" s="3" t="s">
        <v>75</v>
      </c>
      <c r="K20" s="3" t="s">
        <v>605</v>
      </c>
      <c r="L20" s="3" t="s">
        <v>8</v>
      </c>
    </row>
    <row r="21" spans="1:12" ht="27.6">
      <c r="A21" s="3" t="s">
        <v>96</v>
      </c>
      <c r="B21" s="3" t="s">
        <v>63</v>
      </c>
      <c r="C21" s="3" t="s">
        <v>64</v>
      </c>
      <c r="D21" s="3" t="s">
        <v>97</v>
      </c>
      <c r="E21" s="3" t="s">
        <v>98</v>
      </c>
      <c r="F21" s="3" t="s">
        <v>67</v>
      </c>
      <c r="G21" s="3" t="s">
        <v>68</v>
      </c>
      <c r="H21" s="3" t="s">
        <v>43</v>
      </c>
      <c r="I21" s="3" t="s">
        <v>43</v>
      </c>
      <c r="J21" s="3" t="s">
        <v>75</v>
      </c>
      <c r="K21" s="3" t="s">
        <v>605</v>
      </c>
      <c r="L21" s="3" t="s">
        <v>8</v>
      </c>
    </row>
    <row r="22" spans="1:12" ht="27.6">
      <c r="A22" s="3" t="s">
        <v>99</v>
      </c>
      <c r="B22" s="3" t="s">
        <v>63</v>
      </c>
      <c r="C22" s="3" t="s">
        <v>64</v>
      </c>
      <c r="D22" s="3" t="s">
        <v>100</v>
      </c>
      <c r="E22" s="3" t="s">
        <v>92</v>
      </c>
      <c r="F22" s="3" t="s">
        <v>67</v>
      </c>
      <c r="G22" s="3" t="s">
        <v>68</v>
      </c>
      <c r="H22" s="3" t="s">
        <v>43</v>
      </c>
      <c r="I22" s="3" t="s">
        <v>43</v>
      </c>
      <c r="J22" s="3" t="s">
        <v>75</v>
      </c>
      <c r="K22" s="3" t="s">
        <v>605</v>
      </c>
      <c r="L22" s="3" t="s">
        <v>8</v>
      </c>
    </row>
    <row r="23" spans="1:12" ht="27.6">
      <c r="A23" s="3" t="s">
        <v>101</v>
      </c>
      <c r="B23" s="3" t="s">
        <v>63</v>
      </c>
      <c r="C23" s="3" t="s">
        <v>64</v>
      </c>
      <c r="D23" s="3" t="s">
        <v>102</v>
      </c>
      <c r="E23" s="3" t="s">
        <v>92</v>
      </c>
      <c r="F23" s="3" t="s">
        <v>67</v>
      </c>
      <c r="G23" s="3" t="s">
        <v>68</v>
      </c>
      <c r="H23" s="3" t="s">
        <v>43</v>
      </c>
      <c r="I23" s="3" t="s">
        <v>43</v>
      </c>
      <c r="J23" s="3" t="s">
        <v>45</v>
      </c>
      <c r="K23" s="3" t="s">
        <v>605</v>
      </c>
      <c r="L23" s="3" t="s">
        <v>8</v>
      </c>
    </row>
    <row r="24" spans="1:12" ht="27.6">
      <c r="A24" s="3" t="s">
        <v>103</v>
      </c>
      <c r="B24" s="3" t="s">
        <v>63</v>
      </c>
      <c r="C24" s="3" t="s">
        <v>64</v>
      </c>
      <c r="D24" s="3" t="s">
        <v>104</v>
      </c>
      <c r="E24" s="3" t="s">
        <v>92</v>
      </c>
      <c r="F24" s="3" t="s">
        <v>67</v>
      </c>
      <c r="G24" s="3" t="s">
        <v>68</v>
      </c>
      <c r="H24" s="3" t="s">
        <v>43</v>
      </c>
      <c r="I24" s="3" t="s">
        <v>43</v>
      </c>
      <c r="J24" s="3" t="s">
        <v>45</v>
      </c>
      <c r="K24" s="3" t="s">
        <v>605</v>
      </c>
      <c r="L24" s="3" t="s">
        <v>8</v>
      </c>
    </row>
    <row r="25" spans="1:12" ht="27.6">
      <c r="A25" s="3" t="s">
        <v>105</v>
      </c>
      <c r="B25" s="3" t="s">
        <v>63</v>
      </c>
      <c r="C25" s="3" t="s">
        <v>64</v>
      </c>
      <c r="D25" s="3" t="s">
        <v>106</v>
      </c>
      <c r="E25" s="3" t="s">
        <v>86</v>
      </c>
      <c r="F25" s="3" t="s">
        <v>87</v>
      </c>
      <c r="G25" s="3" t="s">
        <v>107</v>
      </c>
      <c r="H25" s="3" t="s">
        <v>43</v>
      </c>
      <c r="I25" s="3" t="s">
        <v>43</v>
      </c>
      <c r="J25" s="3" t="s">
        <v>75</v>
      </c>
      <c r="K25" s="3" t="s">
        <v>605</v>
      </c>
      <c r="L25" s="3" t="s">
        <v>89</v>
      </c>
    </row>
    <row r="26" spans="1:12" ht="27.6">
      <c r="A26" s="3" t="s">
        <v>108</v>
      </c>
      <c r="B26" s="3" t="s">
        <v>63</v>
      </c>
      <c r="C26" s="3" t="s">
        <v>64</v>
      </c>
      <c r="D26" s="3" t="s">
        <v>109</v>
      </c>
      <c r="E26" s="3" t="s">
        <v>98</v>
      </c>
      <c r="F26" s="3" t="s">
        <v>67</v>
      </c>
      <c r="G26" s="3" t="s">
        <v>68</v>
      </c>
      <c r="H26" s="3" t="s">
        <v>43</v>
      </c>
      <c r="I26" s="3" t="s">
        <v>43</v>
      </c>
      <c r="J26" s="3" t="s">
        <v>75</v>
      </c>
      <c r="K26" s="3" t="s">
        <v>605</v>
      </c>
      <c r="L26" s="3" t="s">
        <v>8</v>
      </c>
    </row>
    <row r="27" spans="1:12" ht="27.6">
      <c r="A27" s="3" t="s">
        <v>110</v>
      </c>
      <c r="B27" s="3" t="s">
        <v>63</v>
      </c>
      <c r="C27" s="3" t="s">
        <v>64</v>
      </c>
      <c r="D27" s="3" t="s">
        <v>111</v>
      </c>
      <c r="E27" s="3" t="s">
        <v>95</v>
      </c>
      <c r="F27" s="3" t="s">
        <v>67</v>
      </c>
      <c r="G27" s="3" t="s">
        <v>68</v>
      </c>
      <c r="H27" s="3" t="s">
        <v>43</v>
      </c>
      <c r="I27" s="3" t="s">
        <v>43</v>
      </c>
      <c r="J27" s="3" t="s">
        <v>75</v>
      </c>
      <c r="K27" s="3" t="s">
        <v>605</v>
      </c>
      <c r="L27" s="3" t="s">
        <v>8</v>
      </c>
    </row>
    <row r="28" spans="1:12" ht="27.6">
      <c r="A28" s="3" t="s">
        <v>112</v>
      </c>
      <c r="B28" s="3" t="s">
        <v>63</v>
      </c>
      <c r="C28" s="3" t="s">
        <v>64</v>
      </c>
      <c r="D28" s="3" t="s">
        <v>113</v>
      </c>
      <c r="E28" s="3" t="s">
        <v>95</v>
      </c>
      <c r="F28" s="3" t="s">
        <v>67</v>
      </c>
      <c r="G28" s="3" t="s">
        <v>68</v>
      </c>
      <c r="H28" s="3" t="s">
        <v>43</v>
      </c>
      <c r="I28" s="3" t="s">
        <v>43</v>
      </c>
      <c r="J28" s="3" t="s">
        <v>75</v>
      </c>
      <c r="K28" s="3" t="s">
        <v>605</v>
      </c>
      <c r="L28" s="3" t="s">
        <v>8</v>
      </c>
    </row>
    <row r="29" spans="1:12" ht="27.6">
      <c r="A29" s="3" t="s">
        <v>114</v>
      </c>
      <c r="B29" s="3" t="s">
        <v>63</v>
      </c>
      <c r="C29" s="3" t="s">
        <v>64</v>
      </c>
      <c r="D29" s="3" t="s">
        <v>115</v>
      </c>
      <c r="E29" s="3" t="s">
        <v>95</v>
      </c>
      <c r="F29" s="3" t="s">
        <v>67</v>
      </c>
      <c r="G29" s="3" t="s">
        <v>68</v>
      </c>
      <c r="H29" s="3" t="s">
        <v>43</v>
      </c>
      <c r="I29" s="3" t="s">
        <v>43</v>
      </c>
      <c r="J29" s="3" t="s">
        <v>75</v>
      </c>
      <c r="K29" s="3" t="s">
        <v>605</v>
      </c>
      <c r="L29" s="3" t="s">
        <v>8</v>
      </c>
    </row>
    <row r="30" spans="1:12" ht="27.6">
      <c r="A30" s="3" t="s">
        <v>116</v>
      </c>
      <c r="B30" s="3" t="s">
        <v>63</v>
      </c>
      <c r="C30" s="3" t="s">
        <v>64</v>
      </c>
      <c r="D30" s="3" t="s">
        <v>117</v>
      </c>
      <c r="E30" s="3" t="s">
        <v>86</v>
      </c>
      <c r="F30" s="3" t="s">
        <v>87</v>
      </c>
      <c r="G30" s="3" t="s">
        <v>118</v>
      </c>
      <c r="H30" s="3" t="s">
        <v>43</v>
      </c>
      <c r="I30" s="3" t="s">
        <v>43</v>
      </c>
      <c r="J30" s="3" t="s">
        <v>75</v>
      </c>
      <c r="K30" s="3" t="s">
        <v>605</v>
      </c>
      <c r="L30" s="3" t="s">
        <v>89</v>
      </c>
    </row>
    <row r="31" spans="1:12" ht="27.6">
      <c r="A31" s="3" t="s">
        <v>119</v>
      </c>
      <c r="B31" s="3" t="s">
        <v>63</v>
      </c>
      <c r="C31" s="3" t="s">
        <v>64</v>
      </c>
      <c r="D31" s="3" t="s">
        <v>120</v>
      </c>
      <c r="E31" s="3" t="s">
        <v>66</v>
      </c>
      <c r="F31" s="3" t="s">
        <v>67</v>
      </c>
      <c r="G31" s="3" t="s">
        <v>68</v>
      </c>
      <c r="H31" s="3" t="s">
        <v>43</v>
      </c>
      <c r="I31" s="3" t="s">
        <v>43</v>
      </c>
      <c r="J31" s="3" t="s">
        <v>75</v>
      </c>
      <c r="K31" s="3" t="s">
        <v>605</v>
      </c>
      <c r="L31" s="3" t="s">
        <v>8</v>
      </c>
    </row>
    <row r="32" spans="1:12" ht="27.6">
      <c r="A32" s="3" t="s">
        <v>121</v>
      </c>
      <c r="B32" s="3" t="s">
        <v>63</v>
      </c>
      <c r="C32" s="3" t="s">
        <v>64</v>
      </c>
      <c r="D32" s="3" t="s">
        <v>122</v>
      </c>
      <c r="E32" s="3" t="s">
        <v>86</v>
      </c>
      <c r="F32" s="3" t="s">
        <v>87</v>
      </c>
      <c r="G32" s="3" t="s">
        <v>123</v>
      </c>
      <c r="H32" s="3" t="s">
        <v>43</v>
      </c>
      <c r="I32" s="3" t="s">
        <v>43</v>
      </c>
      <c r="J32" s="3" t="s">
        <v>75</v>
      </c>
      <c r="K32" s="3" t="s">
        <v>605</v>
      </c>
      <c r="L32" s="3" t="s">
        <v>89</v>
      </c>
    </row>
    <row r="33" spans="1:12" ht="27.6">
      <c r="A33" s="3" t="s">
        <v>124</v>
      </c>
      <c r="B33" s="3" t="s">
        <v>63</v>
      </c>
      <c r="C33" s="3" t="s">
        <v>64</v>
      </c>
      <c r="D33" s="3" t="s">
        <v>125</v>
      </c>
      <c r="E33" s="3" t="s">
        <v>92</v>
      </c>
      <c r="F33" s="3" t="s">
        <v>67</v>
      </c>
      <c r="G33" s="3" t="s">
        <v>68</v>
      </c>
      <c r="H33" s="3" t="s">
        <v>43</v>
      </c>
      <c r="I33" s="3" t="s">
        <v>43</v>
      </c>
      <c r="J33" s="3" t="s">
        <v>75</v>
      </c>
      <c r="K33" s="3" t="s">
        <v>605</v>
      </c>
      <c r="L33" s="3" t="s">
        <v>8</v>
      </c>
    </row>
    <row r="34" spans="1:12">
      <c r="A34" s="3" t="s">
        <v>126</v>
      </c>
      <c r="B34" s="3" t="s">
        <v>127</v>
      </c>
      <c r="C34" s="3" t="s">
        <v>128</v>
      </c>
      <c r="D34" s="3" t="s">
        <v>129</v>
      </c>
      <c r="E34" s="3" t="s">
        <v>43</v>
      </c>
      <c r="F34" s="3" t="s">
        <v>43</v>
      </c>
      <c r="G34" s="3" t="s">
        <v>44</v>
      </c>
      <c r="H34" s="3" t="s">
        <v>43</v>
      </c>
      <c r="I34" s="3" t="s">
        <v>43</v>
      </c>
      <c r="J34" s="3" t="s">
        <v>45</v>
      </c>
      <c r="K34" s="3" t="s">
        <v>604</v>
      </c>
      <c r="L34" s="3" t="s">
        <v>8</v>
      </c>
    </row>
    <row r="35" spans="1:12" ht="27.6">
      <c r="A35" s="3" t="s">
        <v>130</v>
      </c>
      <c r="B35" s="3" t="s">
        <v>131</v>
      </c>
      <c r="C35" s="3" t="s">
        <v>132</v>
      </c>
      <c r="D35" s="3" t="s">
        <v>133</v>
      </c>
      <c r="E35" s="3" t="s">
        <v>43</v>
      </c>
      <c r="F35" s="3" t="s">
        <v>43</v>
      </c>
      <c r="G35" s="3" t="s">
        <v>44</v>
      </c>
      <c r="H35" s="3" t="s">
        <v>43</v>
      </c>
      <c r="I35" s="3" t="s">
        <v>43</v>
      </c>
      <c r="J35" s="3" t="s">
        <v>45</v>
      </c>
      <c r="K35" s="3" t="s">
        <v>604</v>
      </c>
      <c r="L35" s="3" t="s">
        <v>8</v>
      </c>
    </row>
    <row r="36" spans="1:12" ht="27.6">
      <c r="A36" s="3" t="s">
        <v>134</v>
      </c>
      <c r="B36" s="3" t="s">
        <v>131</v>
      </c>
      <c r="C36" s="3" t="s">
        <v>132</v>
      </c>
      <c r="D36" s="3" t="s">
        <v>135</v>
      </c>
      <c r="E36" s="3" t="s">
        <v>43</v>
      </c>
      <c r="F36" s="3" t="s">
        <v>43</v>
      </c>
      <c r="G36" s="3" t="s">
        <v>44</v>
      </c>
      <c r="H36" s="3" t="s">
        <v>43</v>
      </c>
      <c r="I36" s="3" t="s">
        <v>43</v>
      </c>
      <c r="J36" s="3" t="s">
        <v>45</v>
      </c>
      <c r="K36" s="3" t="s">
        <v>604</v>
      </c>
      <c r="L36" s="3" t="s">
        <v>8</v>
      </c>
    </row>
    <row r="37" spans="1:12" ht="27.6">
      <c r="A37" s="3" t="s">
        <v>136</v>
      </c>
      <c r="B37" s="3" t="s">
        <v>131</v>
      </c>
      <c r="C37" s="3" t="s">
        <v>132</v>
      </c>
      <c r="D37" s="3" t="s">
        <v>137</v>
      </c>
      <c r="E37" s="3" t="s">
        <v>43</v>
      </c>
      <c r="F37" s="3" t="s">
        <v>43</v>
      </c>
      <c r="G37" s="3" t="s">
        <v>44</v>
      </c>
      <c r="H37" s="3" t="s">
        <v>43</v>
      </c>
      <c r="I37" s="3" t="s">
        <v>43</v>
      </c>
      <c r="J37" s="3" t="s">
        <v>45</v>
      </c>
      <c r="K37" s="3" t="s">
        <v>604</v>
      </c>
      <c r="L37" s="3" t="s">
        <v>8</v>
      </c>
    </row>
    <row r="38" spans="1:12" ht="27.6">
      <c r="A38" s="3" t="s">
        <v>138</v>
      </c>
      <c r="B38" s="3" t="s">
        <v>131</v>
      </c>
      <c r="C38" s="3" t="s">
        <v>132</v>
      </c>
      <c r="D38" s="3" t="s">
        <v>139</v>
      </c>
      <c r="E38" s="3" t="s">
        <v>43</v>
      </c>
      <c r="F38" s="3" t="s">
        <v>43</v>
      </c>
      <c r="G38" s="3" t="s">
        <v>44</v>
      </c>
      <c r="H38" s="3" t="s">
        <v>43</v>
      </c>
      <c r="I38" s="3" t="s">
        <v>43</v>
      </c>
      <c r="J38" s="3" t="s">
        <v>45</v>
      </c>
      <c r="K38" s="3" t="s">
        <v>604</v>
      </c>
      <c r="L38" s="3" t="s">
        <v>8</v>
      </c>
    </row>
    <row r="39" spans="1:12">
      <c r="A39" s="3" t="s">
        <v>140</v>
      </c>
      <c r="B39" s="3" t="s">
        <v>141</v>
      </c>
      <c r="C39" s="3" t="s">
        <v>142</v>
      </c>
      <c r="D39" s="3" t="s">
        <v>143</v>
      </c>
      <c r="E39" s="3" t="s">
        <v>43</v>
      </c>
      <c r="F39" s="3" t="s">
        <v>43</v>
      </c>
      <c r="G39" s="3" t="s">
        <v>44</v>
      </c>
      <c r="H39" s="3" t="s">
        <v>43</v>
      </c>
      <c r="I39" s="3" t="s">
        <v>43</v>
      </c>
      <c r="J39" s="3" t="s">
        <v>75</v>
      </c>
      <c r="K39" s="3" t="s">
        <v>604</v>
      </c>
      <c r="L39" s="3" t="s">
        <v>8</v>
      </c>
    </row>
    <row r="40" spans="1:12">
      <c r="A40" s="3" t="s">
        <v>144</v>
      </c>
      <c r="B40" s="3" t="s">
        <v>141</v>
      </c>
      <c r="C40" s="3" t="s">
        <v>142</v>
      </c>
      <c r="D40" s="3" t="s">
        <v>145</v>
      </c>
      <c r="E40" s="3" t="s">
        <v>43</v>
      </c>
      <c r="F40" s="3" t="s">
        <v>43</v>
      </c>
      <c r="G40" s="3" t="s">
        <v>44</v>
      </c>
      <c r="H40" s="3" t="s">
        <v>43</v>
      </c>
      <c r="I40" s="3" t="s">
        <v>43</v>
      </c>
      <c r="J40" s="3" t="s">
        <v>75</v>
      </c>
      <c r="K40" s="3" t="s">
        <v>604</v>
      </c>
      <c r="L40" s="3" t="s">
        <v>8</v>
      </c>
    </row>
    <row r="41" spans="1:12">
      <c r="A41" s="3" t="s">
        <v>146</v>
      </c>
      <c r="B41" s="3" t="s">
        <v>141</v>
      </c>
      <c r="C41" s="3" t="s">
        <v>142</v>
      </c>
      <c r="D41" s="3" t="s">
        <v>147</v>
      </c>
      <c r="E41" s="3" t="s">
        <v>43</v>
      </c>
      <c r="F41" s="3" t="s">
        <v>43</v>
      </c>
      <c r="G41" s="3" t="s">
        <v>44</v>
      </c>
      <c r="H41" s="3" t="s">
        <v>43</v>
      </c>
      <c r="I41" s="3" t="s">
        <v>43</v>
      </c>
      <c r="J41" s="3" t="s">
        <v>75</v>
      </c>
      <c r="K41" s="3" t="s">
        <v>604</v>
      </c>
      <c r="L41" s="3" t="s">
        <v>8</v>
      </c>
    </row>
    <row r="42" spans="1:12" ht="27.6">
      <c r="A42" s="3" t="s">
        <v>148</v>
      </c>
      <c r="B42" s="3" t="s">
        <v>149</v>
      </c>
      <c r="C42" s="3" t="s">
        <v>150</v>
      </c>
      <c r="D42" s="3" t="s">
        <v>151</v>
      </c>
      <c r="E42" s="3" t="s">
        <v>43</v>
      </c>
      <c r="F42" s="3" t="s">
        <v>43</v>
      </c>
      <c r="G42" s="3" t="s">
        <v>44</v>
      </c>
      <c r="H42" s="3" t="s">
        <v>152</v>
      </c>
      <c r="I42" s="3" t="s">
        <v>153</v>
      </c>
      <c r="J42" s="3" t="s">
        <v>75</v>
      </c>
      <c r="K42" s="3" t="s">
        <v>607</v>
      </c>
      <c r="L42" s="3" t="s">
        <v>8</v>
      </c>
    </row>
    <row r="43" spans="1:12" ht="27.6">
      <c r="A43" s="3" t="s">
        <v>154</v>
      </c>
      <c r="B43" s="3" t="s">
        <v>149</v>
      </c>
      <c r="C43" s="3" t="s">
        <v>150</v>
      </c>
      <c r="D43" s="3" t="s">
        <v>155</v>
      </c>
      <c r="E43" s="3" t="s">
        <v>43</v>
      </c>
      <c r="F43" s="3" t="s">
        <v>43</v>
      </c>
      <c r="G43" s="3" t="s">
        <v>44</v>
      </c>
      <c r="H43" s="3" t="s">
        <v>152</v>
      </c>
      <c r="I43" s="3" t="s">
        <v>153</v>
      </c>
      <c r="J43" s="3" t="s">
        <v>75</v>
      </c>
      <c r="K43" s="3" t="s">
        <v>607</v>
      </c>
      <c r="L43" s="3" t="s">
        <v>8</v>
      </c>
    </row>
    <row r="44" spans="1:12" ht="27.6">
      <c r="A44" s="3" t="s">
        <v>156</v>
      </c>
      <c r="B44" s="3" t="s">
        <v>149</v>
      </c>
      <c r="C44" s="3" t="s">
        <v>150</v>
      </c>
      <c r="D44" s="3" t="s">
        <v>157</v>
      </c>
      <c r="E44" s="3" t="s">
        <v>43</v>
      </c>
      <c r="F44" s="3" t="s">
        <v>43</v>
      </c>
      <c r="G44" s="3" t="s">
        <v>44</v>
      </c>
      <c r="H44" s="3" t="s">
        <v>152</v>
      </c>
      <c r="I44" s="3" t="s">
        <v>153</v>
      </c>
      <c r="J44" s="3" t="s">
        <v>75</v>
      </c>
      <c r="K44" s="3" t="s">
        <v>607</v>
      </c>
      <c r="L44" s="3" t="s">
        <v>8</v>
      </c>
    </row>
    <row r="45" spans="1:12" ht="27.6">
      <c r="A45" s="3" t="s">
        <v>158</v>
      </c>
      <c r="B45" s="3" t="s">
        <v>159</v>
      </c>
      <c r="C45" s="3" t="s">
        <v>160</v>
      </c>
      <c r="D45" s="3" t="s">
        <v>161</v>
      </c>
      <c r="E45" s="3" t="s">
        <v>43</v>
      </c>
      <c r="F45" s="3" t="s">
        <v>43</v>
      </c>
      <c r="G45" s="3" t="s">
        <v>44</v>
      </c>
      <c r="H45" s="3" t="s">
        <v>152</v>
      </c>
      <c r="I45" s="3" t="s">
        <v>153</v>
      </c>
      <c r="J45" s="3" t="s">
        <v>75</v>
      </c>
      <c r="K45" s="3" t="s">
        <v>607</v>
      </c>
      <c r="L45" s="3" t="s">
        <v>8</v>
      </c>
    </row>
    <row r="46" spans="1:12" ht="27.6">
      <c r="A46" s="3" t="s">
        <v>162</v>
      </c>
      <c r="B46" s="3" t="s">
        <v>159</v>
      </c>
      <c r="C46" s="3" t="s">
        <v>160</v>
      </c>
      <c r="D46" s="3" t="s">
        <v>163</v>
      </c>
      <c r="E46" s="3" t="s">
        <v>43</v>
      </c>
      <c r="F46" s="3" t="s">
        <v>43</v>
      </c>
      <c r="G46" s="3" t="s">
        <v>44</v>
      </c>
      <c r="H46" s="3" t="s">
        <v>164</v>
      </c>
      <c r="I46" s="3" t="s">
        <v>165</v>
      </c>
      <c r="J46" s="3" t="s">
        <v>75</v>
      </c>
      <c r="K46" s="3" t="s">
        <v>607</v>
      </c>
      <c r="L46" s="3" t="s">
        <v>8</v>
      </c>
    </row>
    <row r="47" spans="1:12" ht="27.6">
      <c r="A47" s="3" t="s">
        <v>166</v>
      </c>
      <c r="B47" s="3" t="s">
        <v>159</v>
      </c>
      <c r="C47" s="3" t="s">
        <v>160</v>
      </c>
      <c r="D47" s="3" t="s">
        <v>167</v>
      </c>
      <c r="E47" s="3" t="s">
        <v>43</v>
      </c>
      <c r="F47" s="3" t="s">
        <v>43</v>
      </c>
      <c r="G47" s="3" t="s">
        <v>44</v>
      </c>
      <c r="H47" s="3" t="s">
        <v>164</v>
      </c>
      <c r="I47" s="3" t="s">
        <v>165</v>
      </c>
      <c r="J47" s="3" t="s">
        <v>75</v>
      </c>
      <c r="K47" s="3" t="s">
        <v>607</v>
      </c>
      <c r="L47" s="3" t="s">
        <v>8</v>
      </c>
    </row>
    <row r="48" spans="1:12" ht="27.6">
      <c r="A48" s="3" t="s">
        <v>168</v>
      </c>
      <c r="B48" s="3" t="s">
        <v>159</v>
      </c>
      <c r="C48" s="3" t="s">
        <v>160</v>
      </c>
      <c r="D48" s="3" t="s">
        <v>169</v>
      </c>
      <c r="E48" s="3" t="s">
        <v>43</v>
      </c>
      <c r="F48" s="3" t="s">
        <v>43</v>
      </c>
      <c r="G48" s="3" t="s">
        <v>44</v>
      </c>
      <c r="H48" s="3" t="s">
        <v>152</v>
      </c>
      <c r="I48" s="3" t="s">
        <v>153</v>
      </c>
      <c r="J48" s="3" t="s">
        <v>75</v>
      </c>
      <c r="K48" s="3" t="s">
        <v>607</v>
      </c>
      <c r="L48" s="3" t="s">
        <v>8</v>
      </c>
    </row>
    <row r="49" spans="1:12" ht="27.6">
      <c r="A49" s="3" t="s">
        <v>170</v>
      </c>
      <c r="B49" s="3" t="s">
        <v>159</v>
      </c>
      <c r="C49" s="3" t="s">
        <v>160</v>
      </c>
      <c r="D49" s="3" t="s">
        <v>171</v>
      </c>
      <c r="E49" s="3" t="s">
        <v>43</v>
      </c>
      <c r="F49" s="3" t="s">
        <v>43</v>
      </c>
      <c r="G49" s="3" t="s">
        <v>44</v>
      </c>
      <c r="H49" s="3" t="s">
        <v>152</v>
      </c>
      <c r="I49" s="3" t="s">
        <v>172</v>
      </c>
      <c r="J49" s="3" t="s">
        <v>75</v>
      </c>
      <c r="K49" s="3" t="s">
        <v>607</v>
      </c>
      <c r="L49" s="3" t="s">
        <v>8</v>
      </c>
    </row>
    <row r="50" spans="1:12" ht="27.6">
      <c r="A50" s="3" t="s">
        <v>173</v>
      </c>
      <c r="B50" s="3" t="s">
        <v>174</v>
      </c>
      <c r="C50" s="3" t="s">
        <v>175</v>
      </c>
      <c r="D50" s="3" t="s">
        <v>176</v>
      </c>
      <c r="E50" s="3" t="s">
        <v>43</v>
      </c>
      <c r="F50" s="3" t="s">
        <v>43</v>
      </c>
      <c r="G50" s="3" t="s">
        <v>44</v>
      </c>
      <c r="H50" s="3" t="s">
        <v>152</v>
      </c>
      <c r="I50" s="3" t="s">
        <v>153</v>
      </c>
      <c r="J50" s="3" t="s">
        <v>75</v>
      </c>
      <c r="K50" s="3" t="s">
        <v>607</v>
      </c>
      <c r="L50" s="3" t="s">
        <v>8</v>
      </c>
    </row>
    <row r="51" spans="1:12" ht="27.6">
      <c r="A51" s="3" t="s">
        <v>177</v>
      </c>
      <c r="B51" s="3" t="s">
        <v>174</v>
      </c>
      <c r="C51" s="3" t="s">
        <v>175</v>
      </c>
      <c r="D51" s="3" t="s">
        <v>178</v>
      </c>
      <c r="E51" s="3" t="s">
        <v>43</v>
      </c>
      <c r="F51" s="3" t="s">
        <v>43</v>
      </c>
      <c r="G51" s="3" t="s">
        <v>44</v>
      </c>
      <c r="H51" s="3" t="s">
        <v>152</v>
      </c>
      <c r="I51" s="3" t="s">
        <v>153</v>
      </c>
      <c r="J51" s="3" t="s">
        <v>75</v>
      </c>
      <c r="K51" s="3" t="s">
        <v>607</v>
      </c>
      <c r="L51" s="3" t="s">
        <v>8</v>
      </c>
    </row>
    <row r="52" spans="1:12" ht="27.6">
      <c r="A52" s="3" t="s">
        <v>179</v>
      </c>
      <c r="B52" s="3" t="s">
        <v>180</v>
      </c>
      <c r="C52" s="3" t="s">
        <v>181</v>
      </c>
      <c r="D52" s="3" t="s">
        <v>182</v>
      </c>
      <c r="E52" s="3" t="s">
        <v>43</v>
      </c>
      <c r="F52" s="3" t="s">
        <v>43</v>
      </c>
      <c r="G52" s="3" t="s">
        <v>44</v>
      </c>
      <c r="H52" s="3" t="s">
        <v>164</v>
      </c>
      <c r="I52" s="3" t="s">
        <v>183</v>
      </c>
      <c r="J52" s="3" t="s">
        <v>75</v>
      </c>
      <c r="K52" s="3" t="s">
        <v>607</v>
      </c>
      <c r="L52" s="3" t="s">
        <v>8</v>
      </c>
    </row>
    <row r="53" spans="1:12" ht="41.4">
      <c r="A53" s="3" t="s">
        <v>184</v>
      </c>
      <c r="B53" s="3" t="s">
        <v>180</v>
      </c>
      <c r="C53" s="3" t="s">
        <v>181</v>
      </c>
      <c r="D53" s="3" t="s">
        <v>185</v>
      </c>
      <c r="E53" s="3" t="s">
        <v>43</v>
      </c>
      <c r="F53" s="3" t="s">
        <v>43</v>
      </c>
      <c r="G53" s="3" t="s">
        <v>44</v>
      </c>
      <c r="H53" s="3" t="s">
        <v>164</v>
      </c>
      <c r="I53" s="3" t="s">
        <v>186</v>
      </c>
      <c r="J53" s="3" t="s">
        <v>75</v>
      </c>
      <c r="K53" s="3" t="s">
        <v>607</v>
      </c>
      <c r="L53" s="3" t="s">
        <v>8</v>
      </c>
    </row>
    <row r="54" spans="1:12" ht="27.6">
      <c r="A54" s="3" t="s">
        <v>187</v>
      </c>
      <c r="B54" s="3" t="s">
        <v>180</v>
      </c>
      <c r="C54" s="3" t="s">
        <v>181</v>
      </c>
      <c r="D54" s="3" t="s">
        <v>188</v>
      </c>
      <c r="E54" s="3" t="s">
        <v>43</v>
      </c>
      <c r="F54" s="3" t="s">
        <v>43</v>
      </c>
      <c r="G54" s="3" t="s">
        <v>44</v>
      </c>
      <c r="H54" s="3" t="s">
        <v>164</v>
      </c>
      <c r="I54" s="3" t="s">
        <v>186</v>
      </c>
      <c r="J54" s="3" t="s">
        <v>75</v>
      </c>
      <c r="K54" s="3" t="s">
        <v>607</v>
      </c>
      <c r="L54" s="3" t="s">
        <v>8</v>
      </c>
    </row>
    <row r="55" spans="1:12" ht="27.6">
      <c r="A55" s="3" t="s">
        <v>189</v>
      </c>
      <c r="B55" s="3" t="s">
        <v>180</v>
      </c>
      <c r="C55" s="3" t="s">
        <v>181</v>
      </c>
      <c r="D55" s="3" t="s">
        <v>190</v>
      </c>
      <c r="E55" s="3" t="s">
        <v>43</v>
      </c>
      <c r="F55" s="3" t="s">
        <v>43</v>
      </c>
      <c r="G55" s="3" t="s">
        <v>44</v>
      </c>
      <c r="H55" s="3" t="s">
        <v>164</v>
      </c>
      <c r="I55" s="3" t="s">
        <v>186</v>
      </c>
      <c r="J55" s="3" t="s">
        <v>75</v>
      </c>
      <c r="K55" s="3" t="s">
        <v>607</v>
      </c>
      <c r="L55" s="3" t="s">
        <v>8</v>
      </c>
    </row>
    <row r="56" spans="1:12" ht="27.6">
      <c r="A56" s="3" t="s">
        <v>191</v>
      </c>
      <c r="B56" s="3" t="s">
        <v>180</v>
      </c>
      <c r="C56" s="3" t="s">
        <v>181</v>
      </c>
      <c r="D56" s="3" t="s">
        <v>192</v>
      </c>
      <c r="E56" s="3" t="s">
        <v>43</v>
      </c>
      <c r="F56" s="3" t="s">
        <v>43</v>
      </c>
      <c r="G56" s="3" t="s">
        <v>44</v>
      </c>
      <c r="H56" s="3" t="s">
        <v>164</v>
      </c>
      <c r="I56" s="3" t="s">
        <v>186</v>
      </c>
      <c r="J56" s="3" t="s">
        <v>75</v>
      </c>
      <c r="K56" s="3" t="s">
        <v>607</v>
      </c>
      <c r="L56" s="3" t="s">
        <v>8</v>
      </c>
    </row>
    <row r="57" spans="1:12" ht="27.6">
      <c r="A57" s="3" t="s">
        <v>193</v>
      </c>
      <c r="B57" s="3" t="s">
        <v>180</v>
      </c>
      <c r="C57" s="3" t="s">
        <v>181</v>
      </c>
      <c r="D57" s="3" t="s">
        <v>194</v>
      </c>
      <c r="E57" s="3" t="s">
        <v>43</v>
      </c>
      <c r="F57" s="3" t="s">
        <v>43</v>
      </c>
      <c r="G57" s="3" t="s">
        <v>44</v>
      </c>
      <c r="H57" s="3" t="s">
        <v>164</v>
      </c>
      <c r="I57" s="3" t="s">
        <v>186</v>
      </c>
      <c r="J57" s="3" t="s">
        <v>75</v>
      </c>
      <c r="K57" s="3" t="s">
        <v>607</v>
      </c>
      <c r="L57" s="3" t="s">
        <v>8</v>
      </c>
    </row>
    <row r="58" spans="1:12" ht="27.6">
      <c r="A58" s="3" t="s">
        <v>195</v>
      </c>
      <c r="B58" s="3" t="s">
        <v>196</v>
      </c>
      <c r="C58" s="3" t="s">
        <v>197</v>
      </c>
      <c r="D58" s="3" t="s">
        <v>198</v>
      </c>
      <c r="E58" s="3" t="s">
        <v>43</v>
      </c>
      <c r="F58" s="3" t="s">
        <v>43</v>
      </c>
      <c r="G58" s="3" t="s">
        <v>44</v>
      </c>
      <c r="H58" s="3" t="s">
        <v>164</v>
      </c>
      <c r="I58" s="3" t="s">
        <v>199</v>
      </c>
      <c r="J58" s="3" t="s">
        <v>75</v>
      </c>
      <c r="K58" s="3" t="s">
        <v>607</v>
      </c>
      <c r="L58" s="3" t="s">
        <v>8</v>
      </c>
    </row>
    <row r="59" spans="1:12" ht="27.6">
      <c r="A59" s="3" t="s">
        <v>200</v>
      </c>
      <c r="B59" s="3" t="s">
        <v>196</v>
      </c>
      <c r="C59" s="3" t="s">
        <v>197</v>
      </c>
      <c r="D59" s="3" t="s">
        <v>201</v>
      </c>
      <c r="E59" s="3" t="s">
        <v>43</v>
      </c>
      <c r="F59" s="3" t="s">
        <v>43</v>
      </c>
      <c r="G59" s="3" t="s">
        <v>44</v>
      </c>
      <c r="H59" s="3" t="s">
        <v>164</v>
      </c>
      <c r="I59" s="3" t="s">
        <v>199</v>
      </c>
      <c r="J59" s="3" t="s">
        <v>75</v>
      </c>
      <c r="K59" s="3" t="s">
        <v>607</v>
      </c>
      <c r="L59" s="3" t="s">
        <v>8</v>
      </c>
    </row>
    <row r="60" spans="1:12" ht="27.6">
      <c r="A60" s="3" t="s">
        <v>202</v>
      </c>
      <c r="B60" s="3" t="s">
        <v>196</v>
      </c>
      <c r="C60" s="3" t="s">
        <v>197</v>
      </c>
      <c r="D60" s="3" t="s">
        <v>203</v>
      </c>
      <c r="E60" s="3" t="s">
        <v>43</v>
      </c>
      <c r="F60" s="3" t="s">
        <v>43</v>
      </c>
      <c r="G60" s="3" t="s">
        <v>44</v>
      </c>
      <c r="H60" s="3" t="s">
        <v>164</v>
      </c>
      <c r="I60" s="3" t="s">
        <v>199</v>
      </c>
      <c r="J60" s="3" t="s">
        <v>75</v>
      </c>
      <c r="K60" s="3" t="s">
        <v>607</v>
      </c>
      <c r="L60" s="3" t="s">
        <v>8</v>
      </c>
    </row>
    <row r="61" spans="1:12" ht="27.6">
      <c r="A61" s="3" t="s">
        <v>204</v>
      </c>
      <c r="B61" s="3" t="s">
        <v>205</v>
      </c>
      <c r="C61" s="3" t="s">
        <v>206</v>
      </c>
      <c r="D61" s="3" t="s">
        <v>206</v>
      </c>
      <c r="E61" s="3" t="s">
        <v>43</v>
      </c>
      <c r="F61" s="3" t="s">
        <v>43</v>
      </c>
      <c r="G61" s="3" t="s">
        <v>44</v>
      </c>
      <c r="H61" s="3" t="s">
        <v>152</v>
      </c>
      <c r="I61" s="3" t="s">
        <v>153</v>
      </c>
      <c r="J61" s="3" t="s">
        <v>75</v>
      </c>
      <c r="K61" s="3" t="s">
        <v>607</v>
      </c>
      <c r="L61" s="3" t="s">
        <v>8</v>
      </c>
    </row>
    <row r="62" spans="1:12" ht="27.6">
      <c r="A62" s="3" t="s">
        <v>207</v>
      </c>
      <c r="B62" s="3" t="s">
        <v>208</v>
      </c>
      <c r="C62" s="3" t="s">
        <v>209</v>
      </c>
      <c r="D62" s="3" t="s">
        <v>210</v>
      </c>
      <c r="E62" s="3" t="s">
        <v>43</v>
      </c>
      <c r="F62" s="3" t="s">
        <v>43</v>
      </c>
      <c r="G62" s="3" t="s">
        <v>44</v>
      </c>
      <c r="H62" s="3" t="s">
        <v>164</v>
      </c>
      <c r="I62" s="3" t="s">
        <v>165</v>
      </c>
      <c r="J62" s="3" t="s">
        <v>75</v>
      </c>
      <c r="K62" s="3" t="s">
        <v>607</v>
      </c>
      <c r="L62" s="3" t="s">
        <v>8</v>
      </c>
    </row>
    <row r="63" spans="1:12" ht="27.6">
      <c r="A63" s="3" t="s">
        <v>211</v>
      </c>
      <c r="B63" s="3" t="s">
        <v>208</v>
      </c>
      <c r="C63" s="3" t="s">
        <v>209</v>
      </c>
      <c r="D63" s="3" t="s">
        <v>212</v>
      </c>
      <c r="E63" s="3" t="s">
        <v>43</v>
      </c>
      <c r="F63" s="3" t="s">
        <v>43</v>
      </c>
      <c r="G63" s="3" t="s">
        <v>44</v>
      </c>
      <c r="H63" s="3" t="s">
        <v>164</v>
      </c>
      <c r="I63" s="3" t="s">
        <v>165</v>
      </c>
      <c r="J63" s="3" t="s">
        <v>75</v>
      </c>
      <c r="K63" s="3" t="s">
        <v>607</v>
      </c>
      <c r="L63" s="3" t="s">
        <v>8</v>
      </c>
    </row>
    <row r="64" spans="1:12" ht="27.6">
      <c r="A64" s="3" t="s">
        <v>213</v>
      </c>
      <c r="B64" s="3" t="s">
        <v>208</v>
      </c>
      <c r="C64" s="3" t="s">
        <v>209</v>
      </c>
      <c r="D64" s="3" t="s">
        <v>214</v>
      </c>
      <c r="E64" s="3" t="s">
        <v>43</v>
      </c>
      <c r="F64" s="3" t="s">
        <v>43</v>
      </c>
      <c r="G64" s="3" t="s">
        <v>44</v>
      </c>
      <c r="H64" s="3" t="s">
        <v>164</v>
      </c>
      <c r="I64" s="3" t="s">
        <v>165</v>
      </c>
      <c r="J64" s="3" t="s">
        <v>75</v>
      </c>
      <c r="K64" s="3" t="s">
        <v>607</v>
      </c>
      <c r="L64" s="3" t="s">
        <v>8</v>
      </c>
    </row>
    <row r="65" spans="1:12" ht="27.6">
      <c r="A65" s="3" t="s">
        <v>215</v>
      </c>
      <c r="B65" s="3" t="s">
        <v>208</v>
      </c>
      <c r="C65" s="3" t="s">
        <v>209</v>
      </c>
      <c r="D65" s="3" t="s">
        <v>216</v>
      </c>
      <c r="E65" s="3" t="s">
        <v>43</v>
      </c>
      <c r="F65" s="3" t="s">
        <v>43</v>
      </c>
      <c r="G65" s="3" t="s">
        <v>44</v>
      </c>
      <c r="H65" s="3" t="s">
        <v>164</v>
      </c>
      <c r="I65" s="3" t="s">
        <v>186</v>
      </c>
      <c r="J65" s="3" t="s">
        <v>75</v>
      </c>
      <c r="K65" s="3" t="s">
        <v>607</v>
      </c>
      <c r="L65" s="3" t="s">
        <v>8</v>
      </c>
    </row>
    <row r="66" spans="1:12" ht="27.6">
      <c r="A66" s="3" t="s">
        <v>217</v>
      </c>
      <c r="B66" s="3" t="s">
        <v>208</v>
      </c>
      <c r="C66" s="3" t="s">
        <v>209</v>
      </c>
      <c r="D66" s="3" t="s">
        <v>218</v>
      </c>
      <c r="E66" s="3" t="s">
        <v>43</v>
      </c>
      <c r="F66" s="3" t="s">
        <v>43</v>
      </c>
      <c r="G66" s="3" t="s">
        <v>44</v>
      </c>
      <c r="H66" s="3" t="s">
        <v>164</v>
      </c>
      <c r="I66" s="3" t="s">
        <v>165</v>
      </c>
      <c r="J66" s="3" t="s">
        <v>75</v>
      </c>
      <c r="K66" s="3" t="s">
        <v>607</v>
      </c>
      <c r="L66" s="3" t="s">
        <v>8</v>
      </c>
    </row>
    <row r="67" spans="1:12" ht="27.6">
      <c r="A67" s="3" t="s">
        <v>219</v>
      </c>
      <c r="B67" s="3" t="s">
        <v>208</v>
      </c>
      <c r="C67" s="3" t="s">
        <v>209</v>
      </c>
      <c r="D67" s="3" t="s">
        <v>220</v>
      </c>
      <c r="E67" s="3" t="s">
        <v>43</v>
      </c>
      <c r="F67" s="3" t="s">
        <v>43</v>
      </c>
      <c r="G67" s="3" t="s">
        <v>44</v>
      </c>
      <c r="H67" s="3" t="s">
        <v>164</v>
      </c>
      <c r="I67" s="3" t="s">
        <v>165</v>
      </c>
      <c r="J67" s="3" t="s">
        <v>75</v>
      </c>
      <c r="K67" s="3" t="s">
        <v>607</v>
      </c>
      <c r="L67" s="3" t="s">
        <v>8</v>
      </c>
    </row>
    <row r="68" spans="1:12" ht="27.6">
      <c r="A68" s="3" t="s">
        <v>221</v>
      </c>
      <c r="B68" s="3" t="s">
        <v>208</v>
      </c>
      <c r="C68" s="3" t="s">
        <v>209</v>
      </c>
      <c r="D68" s="3" t="s">
        <v>222</v>
      </c>
      <c r="E68" s="3" t="s">
        <v>43</v>
      </c>
      <c r="F68" s="3" t="s">
        <v>43</v>
      </c>
      <c r="G68" s="3" t="s">
        <v>44</v>
      </c>
      <c r="H68" s="3" t="s">
        <v>164</v>
      </c>
      <c r="I68" s="3" t="s">
        <v>183</v>
      </c>
      <c r="J68" s="3" t="s">
        <v>75</v>
      </c>
      <c r="K68" s="3" t="s">
        <v>607</v>
      </c>
      <c r="L68" s="3" t="s">
        <v>8</v>
      </c>
    </row>
    <row r="69" spans="1:12" ht="27.6">
      <c r="A69" s="3" t="s">
        <v>223</v>
      </c>
      <c r="B69" s="3" t="s">
        <v>224</v>
      </c>
      <c r="C69" s="3" t="s">
        <v>225</v>
      </c>
      <c r="D69" s="3" t="s">
        <v>226</v>
      </c>
      <c r="E69" s="3" t="s">
        <v>43</v>
      </c>
      <c r="F69" s="3" t="s">
        <v>43</v>
      </c>
      <c r="G69" s="3" t="s">
        <v>44</v>
      </c>
      <c r="H69" s="3" t="s">
        <v>152</v>
      </c>
      <c r="I69" s="3" t="s">
        <v>153</v>
      </c>
      <c r="J69" s="3" t="s">
        <v>75</v>
      </c>
      <c r="K69" s="3" t="s">
        <v>607</v>
      </c>
      <c r="L69" s="3" t="s">
        <v>8</v>
      </c>
    </row>
    <row r="70" spans="1:12" ht="27.6">
      <c r="A70" s="3" t="s">
        <v>227</v>
      </c>
      <c r="B70" s="3" t="s">
        <v>224</v>
      </c>
      <c r="C70" s="3" t="s">
        <v>225</v>
      </c>
      <c r="D70" s="3" t="s">
        <v>228</v>
      </c>
      <c r="E70" s="3" t="s">
        <v>43</v>
      </c>
      <c r="F70" s="3" t="s">
        <v>43</v>
      </c>
      <c r="G70" s="3" t="s">
        <v>44</v>
      </c>
      <c r="H70" s="3" t="s">
        <v>164</v>
      </c>
      <c r="I70" s="3" t="s">
        <v>165</v>
      </c>
      <c r="J70" s="3" t="s">
        <v>75</v>
      </c>
      <c r="K70" s="3" t="s">
        <v>607</v>
      </c>
      <c r="L70" s="3" t="s">
        <v>8</v>
      </c>
    </row>
    <row r="71" spans="1:12" ht="27.6">
      <c r="A71" s="3" t="s">
        <v>229</v>
      </c>
      <c r="B71" s="3" t="s">
        <v>224</v>
      </c>
      <c r="C71" s="3" t="s">
        <v>225</v>
      </c>
      <c r="D71" s="3" t="s">
        <v>230</v>
      </c>
      <c r="E71" s="3" t="s">
        <v>43</v>
      </c>
      <c r="F71" s="3" t="s">
        <v>43</v>
      </c>
      <c r="G71" s="3" t="s">
        <v>44</v>
      </c>
      <c r="H71" s="3" t="s">
        <v>152</v>
      </c>
      <c r="I71" s="3" t="s">
        <v>153</v>
      </c>
      <c r="J71" s="3" t="s">
        <v>75</v>
      </c>
      <c r="K71" s="3" t="s">
        <v>607</v>
      </c>
      <c r="L71" s="3" t="s">
        <v>8</v>
      </c>
    </row>
    <row r="72" spans="1:12" ht="27.6">
      <c r="A72" s="3" t="s">
        <v>231</v>
      </c>
      <c r="B72" s="3" t="s">
        <v>224</v>
      </c>
      <c r="C72" s="3" t="s">
        <v>225</v>
      </c>
      <c r="D72" s="3" t="s">
        <v>232</v>
      </c>
      <c r="E72" s="3" t="s">
        <v>43</v>
      </c>
      <c r="F72" s="3" t="s">
        <v>43</v>
      </c>
      <c r="G72" s="3" t="s">
        <v>44</v>
      </c>
      <c r="H72" s="3" t="s">
        <v>164</v>
      </c>
      <c r="I72" s="3" t="s">
        <v>165</v>
      </c>
      <c r="J72" s="3" t="s">
        <v>75</v>
      </c>
      <c r="K72" s="3" t="s">
        <v>607</v>
      </c>
      <c r="L72" s="3" t="s">
        <v>8</v>
      </c>
    </row>
    <row r="73" spans="1:12" ht="27.6">
      <c r="A73" s="3" t="s">
        <v>233</v>
      </c>
      <c r="B73" s="3" t="s">
        <v>224</v>
      </c>
      <c r="C73" s="3" t="s">
        <v>225</v>
      </c>
      <c r="D73" s="3" t="s">
        <v>234</v>
      </c>
      <c r="E73" s="3" t="s">
        <v>43</v>
      </c>
      <c r="F73" s="3" t="s">
        <v>43</v>
      </c>
      <c r="G73" s="3" t="s">
        <v>44</v>
      </c>
      <c r="H73" s="3" t="s">
        <v>152</v>
      </c>
      <c r="I73" s="3" t="s">
        <v>153</v>
      </c>
      <c r="J73" s="3" t="s">
        <v>75</v>
      </c>
      <c r="K73" s="3" t="s">
        <v>607</v>
      </c>
      <c r="L73" s="3" t="s">
        <v>8</v>
      </c>
    </row>
    <row r="74" spans="1:12" ht="27.6">
      <c r="A74" s="3" t="s">
        <v>235</v>
      </c>
      <c r="B74" s="3" t="s">
        <v>224</v>
      </c>
      <c r="C74" s="3" t="s">
        <v>225</v>
      </c>
      <c r="D74" s="3" t="s">
        <v>236</v>
      </c>
      <c r="E74" s="3" t="s">
        <v>43</v>
      </c>
      <c r="F74" s="3" t="s">
        <v>43</v>
      </c>
      <c r="G74" s="3" t="s">
        <v>44</v>
      </c>
      <c r="H74" s="3" t="s">
        <v>152</v>
      </c>
      <c r="I74" s="3" t="s">
        <v>153</v>
      </c>
      <c r="J74" s="3" t="s">
        <v>75</v>
      </c>
      <c r="K74" s="3" t="s">
        <v>607</v>
      </c>
      <c r="L74" s="3" t="s">
        <v>8</v>
      </c>
    </row>
    <row r="75" spans="1:12" ht="27.6">
      <c r="A75" s="3" t="s">
        <v>237</v>
      </c>
      <c r="B75" s="3" t="s">
        <v>238</v>
      </c>
      <c r="C75" s="3" t="s">
        <v>239</v>
      </c>
      <c r="D75" s="3" t="s">
        <v>239</v>
      </c>
      <c r="E75" s="3" t="s">
        <v>43</v>
      </c>
      <c r="F75" s="3" t="s">
        <v>43</v>
      </c>
      <c r="G75" s="3" t="s">
        <v>44</v>
      </c>
      <c r="H75" s="3" t="s">
        <v>164</v>
      </c>
      <c r="I75" s="3" t="s">
        <v>183</v>
      </c>
      <c r="J75" s="3" t="s">
        <v>75</v>
      </c>
      <c r="K75" s="3" t="s">
        <v>604</v>
      </c>
      <c r="L75" s="3" t="s">
        <v>608</v>
      </c>
    </row>
    <row r="76" spans="1:12" ht="27.6">
      <c r="A76" s="3" t="s">
        <v>240</v>
      </c>
      <c r="B76" s="3" t="s">
        <v>241</v>
      </c>
      <c r="C76" s="3" t="s">
        <v>242</v>
      </c>
      <c r="D76" s="3" t="s">
        <v>242</v>
      </c>
      <c r="E76" s="3" t="s">
        <v>43</v>
      </c>
      <c r="F76" s="3" t="s">
        <v>43</v>
      </c>
      <c r="G76" s="3" t="s">
        <v>44</v>
      </c>
      <c r="H76" s="3" t="s">
        <v>164</v>
      </c>
      <c r="I76" s="3" t="s">
        <v>183</v>
      </c>
      <c r="J76" s="3" t="s">
        <v>75</v>
      </c>
      <c r="K76" s="3" t="s">
        <v>607</v>
      </c>
      <c r="L76" s="3" t="s">
        <v>8</v>
      </c>
    </row>
    <row r="77" spans="1:12" ht="27.6">
      <c r="A77" s="3" t="s">
        <v>243</v>
      </c>
      <c r="B77" s="3" t="s">
        <v>244</v>
      </c>
      <c r="C77" s="3" t="s">
        <v>245</v>
      </c>
      <c r="D77" s="3" t="s">
        <v>246</v>
      </c>
      <c r="E77" s="3" t="s">
        <v>43</v>
      </c>
      <c r="F77" s="3" t="s">
        <v>43</v>
      </c>
      <c r="G77" s="3" t="s">
        <v>44</v>
      </c>
      <c r="H77" s="3" t="s">
        <v>164</v>
      </c>
      <c r="I77" s="3" t="s">
        <v>183</v>
      </c>
      <c r="J77" s="3" t="s">
        <v>75</v>
      </c>
      <c r="K77" s="3" t="s">
        <v>607</v>
      </c>
      <c r="L77" s="3" t="s">
        <v>8</v>
      </c>
    </row>
    <row r="78" spans="1:12" ht="41.4">
      <c r="A78" s="3" t="s">
        <v>247</v>
      </c>
      <c r="B78" s="3" t="s">
        <v>244</v>
      </c>
      <c r="C78" s="3" t="s">
        <v>245</v>
      </c>
      <c r="D78" s="3" t="s">
        <v>248</v>
      </c>
      <c r="E78" s="3" t="s">
        <v>43</v>
      </c>
      <c r="F78" s="3" t="s">
        <v>43</v>
      </c>
      <c r="G78" s="3" t="s">
        <v>44</v>
      </c>
      <c r="H78" s="3" t="s">
        <v>164</v>
      </c>
      <c r="I78" s="3" t="s">
        <v>183</v>
      </c>
      <c r="J78" s="3" t="s">
        <v>75</v>
      </c>
      <c r="K78" s="3" t="s">
        <v>607</v>
      </c>
      <c r="L78" s="3" t="s">
        <v>8</v>
      </c>
    </row>
    <row r="79" spans="1:12" ht="27.6">
      <c r="A79" s="3" t="s">
        <v>249</v>
      </c>
      <c r="B79" s="3" t="s">
        <v>244</v>
      </c>
      <c r="C79" s="3" t="s">
        <v>245</v>
      </c>
      <c r="D79" s="3" t="s">
        <v>250</v>
      </c>
      <c r="E79" s="3" t="s">
        <v>43</v>
      </c>
      <c r="F79" s="3" t="s">
        <v>43</v>
      </c>
      <c r="G79" s="3" t="s">
        <v>44</v>
      </c>
      <c r="H79" s="3" t="s">
        <v>164</v>
      </c>
      <c r="I79" s="3" t="s">
        <v>183</v>
      </c>
      <c r="J79" s="3" t="s">
        <v>75</v>
      </c>
      <c r="K79" s="3" t="s">
        <v>607</v>
      </c>
      <c r="L79" s="3" t="s">
        <v>8</v>
      </c>
    </row>
    <row r="80" spans="1:12" ht="27.6">
      <c r="A80" s="3" t="s">
        <v>251</v>
      </c>
      <c r="B80" s="3" t="s">
        <v>252</v>
      </c>
      <c r="C80" s="3" t="s">
        <v>253</v>
      </c>
      <c r="D80" s="3" t="s">
        <v>254</v>
      </c>
      <c r="E80" s="3" t="s">
        <v>43</v>
      </c>
      <c r="F80" s="3" t="s">
        <v>43</v>
      </c>
      <c r="G80" s="3" t="s">
        <v>44</v>
      </c>
      <c r="H80" s="3" t="s">
        <v>164</v>
      </c>
      <c r="I80" s="3" t="s">
        <v>183</v>
      </c>
      <c r="J80" s="3" t="s">
        <v>75</v>
      </c>
      <c r="K80" s="3" t="s">
        <v>607</v>
      </c>
      <c r="L80" s="3" t="s">
        <v>8</v>
      </c>
    </row>
    <row r="81" spans="1:12" ht="27.6">
      <c r="A81" s="3" t="s">
        <v>255</v>
      </c>
      <c r="B81" s="3" t="s">
        <v>252</v>
      </c>
      <c r="C81" s="3" t="s">
        <v>253</v>
      </c>
      <c r="D81" s="3" t="s">
        <v>256</v>
      </c>
      <c r="E81" s="3" t="s">
        <v>43</v>
      </c>
      <c r="F81" s="3" t="s">
        <v>43</v>
      </c>
      <c r="G81" s="3" t="s">
        <v>44</v>
      </c>
      <c r="H81" s="3" t="s">
        <v>164</v>
      </c>
      <c r="I81" s="3" t="s">
        <v>183</v>
      </c>
      <c r="J81" s="3" t="s">
        <v>75</v>
      </c>
      <c r="K81" s="3" t="s">
        <v>607</v>
      </c>
      <c r="L81" s="3" t="s">
        <v>8</v>
      </c>
    </row>
    <row r="82" spans="1:12" ht="27.6">
      <c r="A82" s="3" t="s">
        <v>257</v>
      </c>
      <c r="B82" s="3" t="s">
        <v>252</v>
      </c>
      <c r="C82" s="3" t="s">
        <v>253</v>
      </c>
      <c r="D82" s="3" t="s">
        <v>258</v>
      </c>
      <c r="E82" s="3" t="s">
        <v>43</v>
      </c>
      <c r="F82" s="3" t="s">
        <v>43</v>
      </c>
      <c r="G82" s="3" t="s">
        <v>44</v>
      </c>
      <c r="H82" s="3" t="s">
        <v>164</v>
      </c>
      <c r="I82" s="3" t="s">
        <v>183</v>
      </c>
      <c r="J82" s="3" t="s">
        <v>75</v>
      </c>
      <c r="K82" s="3" t="s">
        <v>607</v>
      </c>
      <c r="L82" s="3" t="s">
        <v>8</v>
      </c>
    </row>
    <row r="83" spans="1:12" ht="27.6">
      <c r="A83" s="3" t="s">
        <v>259</v>
      </c>
      <c r="B83" s="3" t="s">
        <v>252</v>
      </c>
      <c r="C83" s="3" t="s">
        <v>253</v>
      </c>
      <c r="D83" s="3" t="s">
        <v>260</v>
      </c>
      <c r="E83" s="3" t="s">
        <v>43</v>
      </c>
      <c r="F83" s="3" t="s">
        <v>43</v>
      </c>
      <c r="G83" s="3" t="s">
        <v>44</v>
      </c>
      <c r="H83" s="3" t="s">
        <v>164</v>
      </c>
      <c r="I83" s="3" t="s">
        <v>183</v>
      </c>
      <c r="J83" s="3" t="s">
        <v>75</v>
      </c>
      <c r="K83" s="3" t="s">
        <v>607</v>
      </c>
      <c r="L83" s="3" t="s">
        <v>8</v>
      </c>
    </row>
    <row r="84" spans="1:12" ht="27.6">
      <c r="A84" s="3" t="s">
        <v>261</v>
      </c>
      <c r="B84" s="3" t="s">
        <v>262</v>
      </c>
      <c r="C84" s="3" t="s">
        <v>263</v>
      </c>
      <c r="D84" s="3" t="s">
        <v>264</v>
      </c>
      <c r="E84" s="3" t="s">
        <v>43</v>
      </c>
      <c r="F84" s="3" t="s">
        <v>43</v>
      </c>
      <c r="G84" s="3" t="s">
        <v>44</v>
      </c>
      <c r="H84" s="3" t="s">
        <v>152</v>
      </c>
      <c r="I84" s="3" t="s">
        <v>172</v>
      </c>
      <c r="J84" s="3" t="s">
        <v>75</v>
      </c>
      <c r="K84" s="3" t="s">
        <v>604</v>
      </c>
      <c r="L84" s="3" t="s">
        <v>608</v>
      </c>
    </row>
    <row r="85" spans="1:12" ht="27.6">
      <c r="A85" s="3" t="s">
        <v>265</v>
      </c>
      <c r="B85" s="3" t="s">
        <v>262</v>
      </c>
      <c r="C85" s="3" t="s">
        <v>263</v>
      </c>
      <c r="D85" s="3" t="s">
        <v>266</v>
      </c>
      <c r="E85" s="3" t="s">
        <v>43</v>
      </c>
      <c r="F85" s="3" t="s">
        <v>43</v>
      </c>
      <c r="G85" s="3" t="s">
        <v>44</v>
      </c>
      <c r="H85" s="3" t="s">
        <v>152</v>
      </c>
      <c r="I85" s="3" t="s">
        <v>153</v>
      </c>
      <c r="J85" s="3" t="s">
        <v>75</v>
      </c>
      <c r="K85" s="3" t="s">
        <v>607</v>
      </c>
      <c r="L85" s="3" t="s">
        <v>8</v>
      </c>
    </row>
    <row r="86" spans="1:12" ht="27.6">
      <c r="A86" s="3" t="s">
        <v>267</v>
      </c>
      <c r="B86" s="3" t="s">
        <v>262</v>
      </c>
      <c r="C86" s="3" t="s">
        <v>263</v>
      </c>
      <c r="D86" s="3" t="s">
        <v>268</v>
      </c>
      <c r="E86" s="3" t="s">
        <v>43</v>
      </c>
      <c r="F86" s="3" t="s">
        <v>43</v>
      </c>
      <c r="G86" s="3" t="s">
        <v>44</v>
      </c>
      <c r="H86" s="3" t="s">
        <v>152</v>
      </c>
      <c r="I86" s="3" t="s">
        <v>172</v>
      </c>
      <c r="J86" s="3" t="s">
        <v>75</v>
      </c>
      <c r="K86" s="3" t="s">
        <v>607</v>
      </c>
      <c r="L86" s="3" t="s">
        <v>8</v>
      </c>
    </row>
    <row r="87" spans="1:12" ht="27.6">
      <c r="A87" s="3" t="s">
        <v>269</v>
      </c>
      <c r="B87" s="3" t="s">
        <v>270</v>
      </c>
      <c r="C87" s="3" t="s">
        <v>271</v>
      </c>
      <c r="D87" s="3" t="s">
        <v>271</v>
      </c>
      <c r="E87" s="3" t="s">
        <v>43</v>
      </c>
      <c r="F87" s="3" t="s">
        <v>43</v>
      </c>
      <c r="G87" s="3" t="s">
        <v>44</v>
      </c>
      <c r="H87" s="3" t="s">
        <v>152</v>
      </c>
      <c r="I87" s="3" t="s">
        <v>172</v>
      </c>
      <c r="J87" s="3" t="s">
        <v>75</v>
      </c>
      <c r="K87" s="3" t="s">
        <v>604</v>
      </c>
      <c r="L87" s="3" t="s">
        <v>608</v>
      </c>
    </row>
    <row r="88" spans="1:12" ht="27.6">
      <c r="A88" s="3" t="s">
        <v>272</v>
      </c>
      <c r="B88" s="3" t="s">
        <v>273</v>
      </c>
      <c r="C88" s="3" t="s">
        <v>274</v>
      </c>
      <c r="D88" s="3" t="s">
        <v>274</v>
      </c>
      <c r="E88" s="3" t="s">
        <v>43</v>
      </c>
      <c r="F88" s="3" t="s">
        <v>43</v>
      </c>
      <c r="G88" s="3" t="s">
        <v>44</v>
      </c>
      <c r="H88" s="3" t="s">
        <v>152</v>
      </c>
      <c r="I88" s="3" t="s">
        <v>172</v>
      </c>
      <c r="J88" s="3" t="s">
        <v>75</v>
      </c>
      <c r="K88" s="3" t="s">
        <v>604</v>
      </c>
      <c r="L88" s="3" t="s">
        <v>608</v>
      </c>
    </row>
  </sheetData>
  <conditionalFormatting sqref="E2:E88">
    <cfRule type="expression" dxfId="1" priority="1">
      <formula>LEFT(E2,5)="MISTA"</formula>
    </cfRule>
  </conditionalFormatting>
  <conditionalFormatting sqref="L2:L88">
    <cfRule type="expression" dxfId="0" priority="2">
      <formula>LEFT(L2,8)="VALIDADO"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3"/>
  <sheetViews>
    <sheetView workbookViewId="0"/>
  </sheetViews>
  <sheetFormatPr defaultRowHeight="13.8"/>
  <cols>
    <col min="1" max="1" width="25" customWidth="1"/>
    <col min="2" max="2" width="12" customWidth="1"/>
    <col min="3" max="3" width="42" customWidth="1"/>
    <col min="4" max="4" width="34" customWidth="1"/>
    <col min="5" max="5" width="55" customWidth="1"/>
    <col min="6" max="6" width="54" customWidth="1"/>
  </cols>
  <sheetData>
    <row r="1" spans="1:6">
      <c r="A1" s="5" t="s">
        <v>275</v>
      </c>
      <c r="B1" s="5" t="s">
        <v>276</v>
      </c>
      <c r="C1" s="5" t="s">
        <v>277</v>
      </c>
      <c r="D1" s="5" t="s">
        <v>278</v>
      </c>
      <c r="E1" s="5" t="s">
        <v>279</v>
      </c>
      <c r="F1" s="5" t="s">
        <v>280</v>
      </c>
    </row>
    <row r="2" spans="1:6">
      <c r="A2" s="12" t="s">
        <v>98</v>
      </c>
      <c r="B2" s="10" t="s">
        <v>96</v>
      </c>
      <c r="C2" s="10" t="s">
        <v>281</v>
      </c>
      <c r="D2" s="10" t="s">
        <v>96</v>
      </c>
      <c r="E2" s="10" t="s">
        <v>282</v>
      </c>
      <c r="F2" s="10" t="s">
        <v>283</v>
      </c>
    </row>
    <row r="3" spans="1:6">
      <c r="A3" s="12" t="s">
        <v>98</v>
      </c>
      <c r="B3" s="10" t="s">
        <v>108</v>
      </c>
      <c r="C3" s="10" t="s">
        <v>281</v>
      </c>
      <c r="D3" s="10" t="s">
        <v>108</v>
      </c>
      <c r="E3" s="10" t="s">
        <v>284</v>
      </c>
      <c r="F3" s="10" t="s">
        <v>283</v>
      </c>
    </row>
    <row r="4" spans="1:6">
      <c r="A4" s="12" t="s">
        <v>98</v>
      </c>
      <c r="B4" s="10" t="s">
        <v>116</v>
      </c>
      <c r="C4" s="10" t="s">
        <v>285</v>
      </c>
      <c r="D4" s="10" t="s">
        <v>286</v>
      </c>
      <c r="E4" s="10" t="s">
        <v>287</v>
      </c>
      <c r="F4" s="10" t="s">
        <v>288</v>
      </c>
    </row>
    <row r="5" spans="1:6">
      <c r="A5" s="13" t="s">
        <v>95</v>
      </c>
      <c r="B5" s="10" t="s">
        <v>93</v>
      </c>
      <c r="C5" s="10" t="s">
        <v>281</v>
      </c>
      <c r="D5" s="10" t="s">
        <v>93</v>
      </c>
      <c r="E5" s="10" t="s">
        <v>289</v>
      </c>
      <c r="F5" s="10" t="s">
        <v>283</v>
      </c>
    </row>
    <row r="6" spans="1:6">
      <c r="A6" s="13" t="s">
        <v>95</v>
      </c>
      <c r="B6" s="10" t="s">
        <v>105</v>
      </c>
      <c r="C6" s="10" t="s">
        <v>290</v>
      </c>
      <c r="D6" s="10" t="s">
        <v>291</v>
      </c>
      <c r="E6" s="10" t="s">
        <v>292</v>
      </c>
      <c r="F6" s="10" t="s">
        <v>293</v>
      </c>
    </row>
    <row r="7" spans="1:6">
      <c r="A7" s="13" t="s">
        <v>95</v>
      </c>
      <c r="B7" s="10" t="s">
        <v>110</v>
      </c>
      <c r="C7" s="10" t="s">
        <v>281</v>
      </c>
      <c r="D7" s="10" t="s">
        <v>110</v>
      </c>
      <c r="E7" s="10" t="s">
        <v>294</v>
      </c>
      <c r="F7" s="10" t="s">
        <v>283</v>
      </c>
    </row>
    <row r="8" spans="1:6">
      <c r="A8" s="13" t="s">
        <v>95</v>
      </c>
      <c r="B8" s="10" t="s">
        <v>112</v>
      </c>
      <c r="C8" s="10" t="s">
        <v>281</v>
      </c>
      <c r="D8" s="10" t="s">
        <v>112</v>
      </c>
      <c r="E8" s="10" t="s">
        <v>295</v>
      </c>
      <c r="F8" s="10" t="s">
        <v>283</v>
      </c>
    </row>
    <row r="9" spans="1:6">
      <c r="A9" s="13" t="s">
        <v>95</v>
      </c>
      <c r="B9" s="10" t="s">
        <v>114</v>
      </c>
      <c r="C9" s="10" t="s">
        <v>281</v>
      </c>
      <c r="D9" s="10" t="s">
        <v>114</v>
      </c>
      <c r="E9" s="10" t="s">
        <v>296</v>
      </c>
      <c r="F9" s="10" t="s">
        <v>283</v>
      </c>
    </row>
    <row r="10" spans="1:6" ht="27.6">
      <c r="A10" s="13" t="s">
        <v>95</v>
      </c>
      <c r="B10" s="10" t="s">
        <v>116</v>
      </c>
      <c r="C10" s="10" t="s">
        <v>297</v>
      </c>
      <c r="D10" s="10" t="s">
        <v>298</v>
      </c>
      <c r="E10" s="10" t="s">
        <v>299</v>
      </c>
      <c r="F10" s="10" t="s">
        <v>300</v>
      </c>
    </row>
    <row r="11" spans="1:6">
      <c r="A11" s="13" t="s">
        <v>95</v>
      </c>
      <c r="B11" s="10" t="s">
        <v>121</v>
      </c>
      <c r="C11" s="10" t="s">
        <v>301</v>
      </c>
      <c r="D11" s="10" t="s">
        <v>302</v>
      </c>
      <c r="E11" s="10" t="s">
        <v>303</v>
      </c>
      <c r="F11" s="10" t="s">
        <v>304</v>
      </c>
    </row>
    <row r="12" spans="1:6">
      <c r="A12" s="14" t="s">
        <v>92</v>
      </c>
      <c r="B12" s="10" t="s">
        <v>84</v>
      </c>
      <c r="C12" s="10" t="s">
        <v>305</v>
      </c>
      <c r="D12" s="10" t="s">
        <v>306</v>
      </c>
      <c r="E12" s="10" t="s">
        <v>307</v>
      </c>
      <c r="F12" s="10" t="s">
        <v>308</v>
      </c>
    </row>
    <row r="13" spans="1:6">
      <c r="A13" s="14" t="s">
        <v>92</v>
      </c>
      <c r="B13" s="10" t="s">
        <v>90</v>
      </c>
      <c r="C13" s="10" t="s">
        <v>281</v>
      </c>
      <c r="D13" s="10" t="s">
        <v>90</v>
      </c>
      <c r="E13" s="10" t="s">
        <v>309</v>
      </c>
      <c r="F13" s="10" t="s">
        <v>283</v>
      </c>
    </row>
    <row r="14" spans="1:6">
      <c r="A14" s="14" t="s">
        <v>92</v>
      </c>
      <c r="B14" s="10" t="s">
        <v>99</v>
      </c>
      <c r="C14" s="10" t="s">
        <v>281</v>
      </c>
      <c r="D14" s="10" t="s">
        <v>99</v>
      </c>
      <c r="E14" s="10" t="s">
        <v>310</v>
      </c>
      <c r="F14" s="10" t="s">
        <v>283</v>
      </c>
    </row>
    <row r="15" spans="1:6">
      <c r="A15" s="14" t="s">
        <v>92</v>
      </c>
      <c r="B15" s="10" t="s">
        <v>101</v>
      </c>
      <c r="C15" s="10" t="s">
        <v>281</v>
      </c>
      <c r="D15" s="10" t="s">
        <v>101</v>
      </c>
      <c r="E15" s="10" t="s">
        <v>311</v>
      </c>
      <c r="F15" s="10" t="s">
        <v>283</v>
      </c>
    </row>
    <row r="16" spans="1:6">
      <c r="A16" s="14" t="s">
        <v>92</v>
      </c>
      <c r="B16" s="10" t="s">
        <v>103</v>
      </c>
      <c r="C16" s="10" t="s">
        <v>281</v>
      </c>
      <c r="D16" s="10" t="s">
        <v>103</v>
      </c>
      <c r="E16" s="10" t="s">
        <v>104</v>
      </c>
      <c r="F16" s="10" t="s">
        <v>283</v>
      </c>
    </row>
    <row r="17" spans="1:6">
      <c r="A17" s="14" t="s">
        <v>92</v>
      </c>
      <c r="B17" s="10" t="s">
        <v>105</v>
      </c>
      <c r="C17" s="10" t="s">
        <v>312</v>
      </c>
      <c r="D17" s="10" t="s">
        <v>313</v>
      </c>
      <c r="E17" s="10" t="s">
        <v>314</v>
      </c>
      <c r="F17" s="10" t="s">
        <v>315</v>
      </c>
    </row>
    <row r="18" spans="1:6">
      <c r="A18" s="14" t="s">
        <v>92</v>
      </c>
      <c r="B18" s="10" t="s">
        <v>116</v>
      </c>
      <c r="C18" s="10" t="s">
        <v>316</v>
      </c>
      <c r="D18" s="10" t="s">
        <v>317</v>
      </c>
      <c r="E18" s="10" t="s">
        <v>318</v>
      </c>
      <c r="F18" s="10" t="s">
        <v>319</v>
      </c>
    </row>
    <row r="19" spans="1:6">
      <c r="A19" s="14" t="s">
        <v>92</v>
      </c>
      <c r="B19" s="10" t="s">
        <v>124</v>
      </c>
      <c r="C19" s="10" t="s">
        <v>281</v>
      </c>
      <c r="D19" s="10" t="s">
        <v>124</v>
      </c>
      <c r="E19" s="10" t="s">
        <v>125</v>
      </c>
      <c r="F19" s="10" t="s">
        <v>283</v>
      </c>
    </row>
    <row r="20" spans="1:6">
      <c r="A20" s="15" t="s">
        <v>66</v>
      </c>
      <c r="B20" s="10" t="s">
        <v>320</v>
      </c>
      <c r="C20" s="10" t="s">
        <v>321</v>
      </c>
      <c r="D20" s="10" t="s">
        <v>322</v>
      </c>
      <c r="E20" s="10" t="s">
        <v>323</v>
      </c>
      <c r="F20" s="10" t="s">
        <v>283</v>
      </c>
    </row>
    <row r="21" spans="1:6">
      <c r="A21" s="15" t="s">
        <v>66</v>
      </c>
      <c r="B21" s="10" t="s">
        <v>84</v>
      </c>
      <c r="C21" s="10" t="s">
        <v>324</v>
      </c>
      <c r="D21" s="10" t="s">
        <v>325</v>
      </c>
      <c r="E21" s="10" t="s">
        <v>326</v>
      </c>
      <c r="F21" s="10" t="s">
        <v>327</v>
      </c>
    </row>
    <row r="22" spans="1:6">
      <c r="A22" s="15" t="s">
        <v>66</v>
      </c>
      <c r="B22" s="10" t="s">
        <v>119</v>
      </c>
      <c r="C22" s="10" t="s">
        <v>281</v>
      </c>
      <c r="D22" s="10" t="s">
        <v>119</v>
      </c>
      <c r="E22" s="10" t="s">
        <v>328</v>
      </c>
      <c r="F22" s="10" t="s">
        <v>283</v>
      </c>
    </row>
    <row r="23" spans="1:6">
      <c r="A23" s="16" t="s">
        <v>66</v>
      </c>
      <c r="B23" s="11" t="s">
        <v>121</v>
      </c>
      <c r="C23" s="11" t="s">
        <v>329</v>
      </c>
      <c r="D23" s="11" t="s">
        <v>330</v>
      </c>
      <c r="E23" s="11" t="s">
        <v>331</v>
      </c>
      <c r="F23" s="11" t="s">
        <v>332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6"/>
  <sheetViews>
    <sheetView workbookViewId="0"/>
  </sheetViews>
  <sheetFormatPr defaultRowHeight="13.8"/>
  <cols>
    <col min="1" max="1" width="23" customWidth="1"/>
    <col min="2" max="2" width="43" customWidth="1"/>
    <col min="3" max="3" width="20" customWidth="1"/>
    <col min="4" max="4" width="58" customWidth="1"/>
    <col min="5" max="5" width="18" customWidth="1"/>
    <col min="6" max="6" width="48" customWidth="1"/>
    <col min="7" max="7" width="24" customWidth="1"/>
    <col min="8" max="8" width="68" customWidth="1"/>
  </cols>
  <sheetData>
    <row r="1" spans="1:8" ht="55.2">
      <c r="A1" s="21" t="s">
        <v>609</v>
      </c>
      <c r="B1" s="21" t="s">
        <v>333</v>
      </c>
      <c r="C1" s="21" t="s">
        <v>334</v>
      </c>
      <c r="D1" s="21" t="s">
        <v>335</v>
      </c>
      <c r="E1" s="21" t="s">
        <v>336</v>
      </c>
      <c r="F1" s="21" t="s">
        <v>337</v>
      </c>
      <c r="G1" s="21" t="s">
        <v>338</v>
      </c>
      <c r="H1" s="21" t="s">
        <v>339</v>
      </c>
    </row>
    <row r="2" spans="1:8" ht="27.6">
      <c r="A2" s="3" t="s">
        <v>340</v>
      </c>
      <c r="B2" s="3" t="s">
        <v>341</v>
      </c>
      <c r="C2" s="3" t="s">
        <v>306</v>
      </c>
      <c r="D2" s="3" t="s">
        <v>307</v>
      </c>
      <c r="E2" s="3" t="s">
        <v>342</v>
      </c>
      <c r="F2" s="3" t="s">
        <v>343</v>
      </c>
      <c r="G2" s="3" t="s">
        <v>344</v>
      </c>
      <c r="H2" s="3" t="s">
        <v>345</v>
      </c>
    </row>
    <row r="3" spans="1:8" ht="27.6">
      <c r="A3" s="3" t="s">
        <v>346</v>
      </c>
      <c r="B3" s="3" t="s">
        <v>347</v>
      </c>
      <c r="C3" s="3" t="s">
        <v>291</v>
      </c>
      <c r="D3" s="3" t="s">
        <v>348</v>
      </c>
      <c r="E3" s="3" t="s">
        <v>349</v>
      </c>
      <c r="F3" s="3" t="s">
        <v>343</v>
      </c>
      <c r="G3" s="3" t="s">
        <v>350</v>
      </c>
      <c r="H3" s="3" t="s">
        <v>351</v>
      </c>
    </row>
    <row r="4" spans="1:8">
      <c r="A4" s="3" t="s">
        <v>317</v>
      </c>
      <c r="B4" s="3" t="s">
        <v>352</v>
      </c>
      <c r="C4" s="3" t="s">
        <v>317</v>
      </c>
      <c r="D4" s="3" t="s">
        <v>318</v>
      </c>
      <c r="E4" s="3" t="s">
        <v>342</v>
      </c>
      <c r="F4" s="3" t="s">
        <v>353</v>
      </c>
      <c r="G4" s="3" t="s">
        <v>354</v>
      </c>
      <c r="H4" s="3" t="s">
        <v>355</v>
      </c>
    </row>
    <row r="5" spans="1:8" ht="27.6">
      <c r="A5" s="3" t="s">
        <v>356</v>
      </c>
      <c r="B5" s="3" t="s">
        <v>357</v>
      </c>
      <c r="C5" s="3" t="s">
        <v>286</v>
      </c>
      <c r="D5" s="3" t="s">
        <v>287</v>
      </c>
      <c r="E5" s="3" t="s">
        <v>358</v>
      </c>
      <c r="F5" s="3" t="s">
        <v>359</v>
      </c>
      <c r="G5" s="3" t="s">
        <v>360</v>
      </c>
      <c r="H5" s="3" t="s">
        <v>361</v>
      </c>
    </row>
    <row r="6" spans="1:8" ht="27.6">
      <c r="A6" s="3" t="s">
        <v>302</v>
      </c>
      <c r="B6" s="3" t="s">
        <v>362</v>
      </c>
      <c r="C6" s="3" t="s">
        <v>302</v>
      </c>
      <c r="D6" s="3" t="s">
        <v>363</v>
      </c>
      <c r="E6" s="3" t="s">
        <v>349</v>
      </c>
      <c r="F6" s="3" t="s">
        <v>364</v>
      </c>
      <c r="G6" s="3" t="s">
        <v>365</v>
      </c>
      <c r="H6" s="3" t="s">
        <v>366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7"/>
  <sheetViews>
    <sheetView workbookViewId="0"/>
  </sheetViews>
  <sheetFormatPr defaultRowHeight="13.8"/>
  <cols>
    <col min="1" max="1" width="15" customWidth="1"/>
    <col min="2" max="2" width="62" customWidth="1"/>
    <col min="3" max="3" width="42" customWidth="1"/>
  </cols>
  <sheetData>
    <row r="1" spans="1:3">
      <c r="A1" s="6" t="s">
        <v>367</v>
      </c>
      <c r="B1" s="6" t="s">
        <v>368</v>
      </c>
      <c r="C1" s="6" t="s">
        <v>369</v>
      </c>
    </row>
    <row r="2" spans="1:3" ht="27.6">
      <c r="A2" s="3" t="s">
        <v>370</v>
      </c>
      <c r="B2" s="3" t="s">
        <v>165</v>
      </c>
      <c r="C2" s="3" t="s">
        <v>371</v>
      </c>
    </row>
    <row r="3" spans="1:3">
      <c r="A3" s="3" t="s">
        <v>370</v>
      </c>
      <c r="B3" s="3" t="s">
        <v>186</v>
      </c>
      <c r="C3" s="3" t="s">
        <v>372</v>
      </c>
    </row>
    <row r="4" spans="1:3">
      <c r="A4" s="3" t="s">
        <v>370</v>
      </c>
      <c r="B4" s="3" t="s">
        <v>199</v>
      </c>
      <c r="C4" s="3" t="s">
        <v>373</v>
      </c>
    </row>
    <row r="5" spans="1:3">
      <c r="A5" s="3" t="s">
        <v>370</v>
      </c>
      <c r="B5" s="3" t="s">
        <v>183</v>
      </c>
      <c r="C5" s="3" t="s">
        <v>374</v>
      </c>
    </row>
    <row r="6" spans="1:3">
      <c r="A6" s="3" t="s">
        <v>375</v>
      </c>
      <c r="B6" s="3" t="s">
        <v>153</v>
      </c>
      <c r="C6" s="3" t="s">
        <v>376</v>
      </c>
    </row>
    <row r="7" spans="1:3">
      <c r="A7" s="3" t="s">
        <v>375</v>
      </c>
      <c r="B7" s="3" t="s">
        <v>172</v>
      </c>
      <c r="C7" s="3" t="s">
        <v>377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1"/>
  <sheetViews>
    <sheetView workbookViewId="0"/>
  </sheetViews>
  <sheetFormatPr defaultRowHeight="13.8"/>
  <cols>
    <col min="1" max="1" width="22" customWidth="1"/>
    <col min="2" max="2" width="58" customWidth="1"/>
    <col min="3" max="3" width="64" customWidth="1"/>
    <col min="4" max="4" width="48" customWidth="1"/>
  </cols>
  <sheetData>
    <row r="1" spans="1:4">
      <c r="A1" s="7" t="s">
        <v>29</v>
      </c>
      <c r="B1" s="7" t="s">
        <v>378</v>
      </c>
      <c r="C1" s="7" t="s">
        <v>379</v>
      </c>
      <c r="D1" s="7" t="s">
        <v>380</v>
      </c>
    </row>
    <row r="2" spans="1:4" ht="27.6">
      <c r="A2" s="3" t="s">
        <v>40</v>
      </c>
      <c r="B2" s="3" t="s">
        <v>381</v>
      </c>
      <c r="C2" s="3" t="s">
        <v>382</v>
      </c>
      <c r="D2" s="3" t="s">
        <v>41</v>
      </c>
    </row>
    <row r="3" spans="1:4">
      <c r="A3" s="3" t="s">
        <v>51</v>
      </c>
      <c r="B3" s="3" t="s">
        <v>381</v>
      </c>
      <c r="C3" s="3" t="s">
        <v>383</v>
      </c>
      <c r="D3" s="3" t="s">
        <v>52</v>
      </c>
    </row>
    <row r="4" spans="1:4" ht="27.6">
      <c r="A4" s="3" t="s">
        <v>63</v>
      </c>
      <c r="B4" s="3" t="s">
        <v>384</v>
      </c>
      <c r="C4" s="3" t="s">
        <v>385</v>
      </c>
      <c r="D4" s="3" t="s">
        <v>386</v>
      </c>
    </row>
    <row r="5" spans="1:4">
      <c r="A5" s="3" t="s">
        <v>127</v>
      </c>
      <c r="B5" s="3" t="s">
        <v>381</v>
      </c>
      <c r="C5" s="3" t="s">
        <v>126</v>
      </c>
      <c r="D5" s="3" t="s">
        <v>128</v>
      </c>
    </row>
    <row r="6" spans="1:4" ht="27.6">
      <c r="A6" s="3" t="s">
        <v>131</v>
      </c>
      <c r="B6" s="3" t="s">
        <v>381</v>
      </c>
      <c r="C6" s="3" t="s">
        <v>387</v>
      </c>
      <c r="D6" s="3" t="s">
        <v>132</v>
      </c>
    </row>
    <row r="8" spans="1:4">
      <c r="A8" s="23" t="s">
        <v>610</v>
      </c>
      <c r="B8" s="23" t="s">
        <v>611</v>
      </c>
      <c r="C8" s="23" t="s">
        <v>612</v>
      </c>
      <c r="D8" s="23" t="s">
        <v>613</v>
      </c>
    </row>
    <row r="9" spans="1:4" ht="27.6">
      <c r="A9" s="3" t="s">
        <v>614</v>
      </c>
      <c r="B9" s="3" t="s">
        <v>615</v>
      </c>
      <c r="C9" s="3" t="s">
        <v>616</v>
      </c>
      <c r="D9" s="3" t="s">
        <v>617</v>
      </c>
    </row>
    <row r="10" spans="1:4" ht="27.6">
      <c r="A10" s="3" t="s">
        <v>618</v>
      </c>
      <c r="B10" s="3" t="s">
        <v>619</v>
      </c>
      <c r="C10" s="3" t="s">
        <v>620</v>
      </c>
      <c r="D10" s="3" t="s">
        <v>621</v>
      </c>
    </row>
    <row r="11" spans="1:4" ht="27.6">
      <c r="A11" s="3" t="s">
        <v>622</v>
      </c>
      <c r="B11" s="3" t="s">
        <v>623</v>
      </c>
      <c r="C11" s="3" t="s">
        <v>624</v>
      </c>
      <c r="D11" s="3" t="s">
        <v>625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3"/>
  <sheetViews>
    <sheetView workbookViewId="0"/>
  </sheetViews>
  <sheetFormatPr defaultRowHeight="13.8"/>
  <cols>
    <col min="1" max="1" width="14" customWidth="1"/>
    <col min="2" max="2" width="42" customWidth="1"/>
    <col min="3" max="3" width="58" customWidth="1"/>
    <col min="4" max="4" width="48" customWidth="1"/>
    <col min="5" max="5" width="78" customWidth="1"/>
  </cols>
  <sheetData>
    <row r="1" spans="1:5">
      <c r="A1" s="20" t="s">
        <v>388</v>
      </c>
      <c r="B1" s="20" t="s">
        <v>389</v>
      </c>
      <c r="C1" s="20" t="s">
        <v>390</v>
      </c>
      <c r="D1" s="20" t="s">
        <v>391</v>
      </c>
      <c r="E1" s="20" t="s">
        <v>392</v>
      </c>
    </row>
    <row r="2" spans="1:5" ht="27.6">
      <c r="A2" s="3" t="s">
        <v>393</v>
      </c>
      <c r="B2" s="3" t="s">
        <v>394</v>
      </c>
      <c r="C2" s="3" t="s">
        <v>395</v>
      </c>
      <c r="D2" s="3" t="s">
        <v>396</v>
      </c>
      <c r="E2" s="3" t="s">
        <v>397</v>
      </c>
    </row>
    <row r="3" spans="1:5" ht="27.6">
      <c r="A3" s="3" t="s">
        <v>398</v>
      </c>
      <c r="B3" s="3" t="s">
        <v>399</v>
      </c>
      <c r="C3" s="3" t="s">
        <v>400</v>
      </c>
      <c r="D3" s="3" t="s">
        <v>401</v>
      </c>
      <c r="E3" s="3" t="s">
        <v>402</v>
      </c>
    </row>
    <row r="4" spans="1:5" ht="27.6">
      <c r="A4" s="3" t="s">
        <v>403</v>
      </c>
      <c r="B4" s="3" t="s">
        <v>404</v>
      </c>
      <c r="C4" s="3" t="s">
        <v>405</v>
      </c>
      <c r="D4" s="3" t="s">
        <v>406</v>
      </c>
      <c r="E4" s="3" t="s">
        <v>407</v>
      </c>
    </row>
    <row r="5" spans="1:5" ht="41.4">
      <c r="A5" s="3" t="s">
        <v>408</v>
      </c>
      <c r="B5" s="3" t="s">
        <v>409</v>
      </c>
      <c r="C5" s="3" t="s">
        <v>626</v>
      </c>
      <c r="D5" s="3" t="s">
        <v>627</v>
      </c>
      <c r="E5" s="3" t="s">
        <v>410</v>
      </c>
    </row>
    <row r="6" spans="1:5">
      <c r="A6" s="3" t="s">
        <v>411</v>
      </c>
      <c r="B6" s="3" t="s">
        <v>412</v>
      </c>
      <c r="C6" s="3" t="s">
        <v>413</v>
      </c>
      <c r="D6" s="3" t="s">
        <v>414</v>
      </c>
      <c r="E6" s="3" t="s">
        <v>415</v>
      </c>
    </row>
    <row r="7" spans="1:5" ht="55.2">
      <c r="A7" s="3" t="s">
        <v>416</v>
      </c>
      <c r="B7" s="3" t="s">
        <v>417</v>
      </c>
      <c r="C7" s="3" t="s">
        <v>628</v>
      </c>
      <c r="D7" s="3" t="s">
        <v>418</v>
      </c>
      <c r="E7" s="3" t="s">
        <v>419</v>
      </c>
    </row>
    <row r="8" spans="1:5" ht="27.6">
      <c r="A8" s="3" t="s">
        <v>420</v>
      </c>
      <c r="B8" s="3" t="s">
        <v>421</v>
      </c>
      <c r="C8" s="3" t="s">
        <v>422</v>
      </c>
      <c r="D8" s="3" t="s">
        <v>423</v>
      </c>
      <c r="E8" s="3" t="s">
        <v>419</v>
      </c>
    </row>
    <row r="9" spans="1:5" ht="27.6">
      <c r="A9" s="3" t="s">
        <v>424</v>
      </c>
      <c r="B9" s="3" t="s">
        <v>425</v>
      </c>
      <c r="C9" s="3" t="s">
        <v>426</v>
      </c>
      <c r="D9" s="3" t="s">
        <v>427</v>
      </c>
      <c r="E9" s="3" t="s">
        <v>419</v>
      </c>
    </row>
    <row r="10" spans="1:5" ht="27.6">
      <c r="A10" s="3" t="s">
        <v>428</v>
      </c>
      <c r="B10" s="3" t="s">
        <v>429</v>
      </c>
      <c r="C10" s="3" t="s">
        <v>430</v>
      </c>
      <c r="D10" s="3" t="s">
        <v>431</v>
      </c>
      <c r="E10" s="3" t="s">
        <v>419</v>
      </c>
    </row>
    <row r="11" spans="1:5" ht="27.6">
      <c r="A11" s="3" t="s">
        <v>432</v>
      </c>
      <c r="B11" s="3" t="s">
        <v>433</v>
      </c>
      <c r="C11" s="3" t="s">
        <v>434</v>
      </c>
      <c r="D11" s="3" t="s">
        <v>435</v>
      </c>
      <c r="E11" s="3" t="s">
        <v>397</v>
      </c>
    </row>
    <row r="12" spans="1:5" ht="41.4">
      <c r="A12" s="3" t="s">
        <v>629</v>
      </c>
      <c r="B12" s="3" t="s">
        <v>630</v>
      </c>
      <c r="C12" s="3" t="s">
        <v>631</v>
      </c>
      <c r="D12" s="3" t="s">
        <v>632</v>
      </c>
      <c r="E12" s="3" t="s">
        <v>633</v>
      </c>
    </row>
    <row r="13" spans="1:5" ht="41.4">
      <c r="A13" s="3" t="s">
        <v>634</v>
      </c>
      <c r="B13" s="3" t="s">
        <v>635</v>
      </c>
      <c r="C13" s="3" t="s">
        <v>636</v>
      </c>
      <c r="D13" s="3" t="s">
        <v>637</v>
      </c>
      <c r="E13" s="3" t="s">
        <v>638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26"/>
  <sheetViews>
    <sheetView workbookViewId="0"/>
  </sheetViews>
  <sheetFormatPr defaultRowHeight="13.8"/>
  <cols>
    <col min="1" max="1" width="40" customWidth="1"/>
    <col min="2" max="3" width="18" customWidth="1"/>
    <col min="4" max="4" width="72" customWidth="1"/>
  </cols>
  <sheetData>
    <row r="1" spans="1:4">
      <c r="A1" s="4" t="s">
        <v>436</v>
      </c>
      <c r="B1" s="4" t="s">
        <v>437</v>
      </c>
      <c r="C1" s="4" t="s">
        <v>438</v>
      </c>
      <c r="D1" s="4" t="s">
        <v>439</v>
      </c>
    </row>
    <row r="2" spans="1:4">
      <c r="A2" s="3" t="s">
        <v>440</v>
      </c>
      <c r="B2" s="3">
        <f>COUNTA(Mapa_CNAE!A2:A88)</f>
        <v>87</v>
      </c>
      <c r="C2" s="3">
        <v>87</v>
      </c>
      <c r="D2" s="3" t="s">
        <v>441</v>
      </c>
    </row>
    <row r="3" spans="1:4">
      <c r="A3" s="3" t="s">
        <v>442</v>
      </c>
      <c r="B3" s="3">
        <v>87</v>
      </c>
      <c r="C3" s="3">
        <v>87</v>
      </c>
      <c r="D3" s="3" t="s">
        <v>443</v>
      </c>
    </row>
    <row r="4" spans="1:4">
      <c r="A4" s="3" t="s">
        <v>444</v>
      </c>
      <c r="B4" s="3">
        <f>COUNTIF(Mapa_CNAE!E2:E88,"MISTA — depende do grupo CNAE")</f>
        <v>4</v>
      </c>
      <c r="C4" s="3">
        <v>4</v>
      </c>
      <c r="D4" s="3" t="s">
        <v>445</v>
      </c>
    </row>
    <row r="5" spans="1:4" ht="27.6">
      <c r="A5" s="3" t="s">
        <v>639</v>
      </c>
      <c r="B5" s="3">
        <v>5</v>
      </c>
      <c r="C5" s="3">
        <v>5</v>
      </c>
      <c r="D5" s="3" t="s">
        <v>640</v>
      </c>
    </row>
    <row r="6" spans="1:4">
      <c r="A6" s="3" t="s">
        <v>446</v>
      </c>
      <c r="B6" s="3">
        <f>COUNTBLANK(Mapa_CNAE!L2:L88)</f>
        <v>0</v>
      </c>
      <c r="C6" s="3">
        <v>0</v>
      </c>
      <c r="D6" s="3" t="s">
        <v>447</v>
      </c>
    </row>
    <row r="7" spans="1:4" ht="41.4">
      <c r="A7" s="3" t="s">
        <v>448</v>
      </c>
      <c r="B7" s="3">
        <f>87-COUNTIF(Mapa_CNAE!L2:L88,"VALIDADO")-COUNTIF(Mapa_CNAE!L2:L88,"VALIDADO — requer grupo CNAE")-COUNTIF(Mapa_CNAE!L2:L88,"VALIDADO — Eurostat; fora da amostra empresarial do CGEE")</f>
        <v>0</v>
      </c>
      <c r="C7" s="3">
        <v>0</v>
      </c>
      <c r="D7" s="3" t="s">
        <v>641</v>
      </c>
    </row>
    <row r="8" spans="1:4">
      <c r="A8" s="3" t="s">
        <v>449</v>
      </c>
      <c r="B8" s="3">
        <f>COUNTIF(Mapa_CNAE!H2:H88,"&lt;&gt;Não se aplica")</f>
        <v>47</v>
      </c>
      <c r="C8" s="3">
        <v>47</v>
      </c>
      <c r="D8" s="3" t="s">
        <v>450</v>
      </c>
    </row>
    <row r="9" spans="1:4">
      <c r="A9" s="3" t="s">
        <v>451</v>
      </c>
      <c r="B9" s="3">
        <f>COUNTIF(Mapa_CNAE!J2:J88,"Sim")</f>
        <v>23</v>
      </c>
      <c r="C9" s="3">
        <v>23</v>
      </c>
      <c r="D9" s="3" t="s">
        <v>452</v>
      </c>
    </row>
    <row r="10" spans="1:4">
      <c r="A10" s="3" t="s">
        <v>453</v>
      </c>
      <c r="B10" s="3">
        <v>0</v>
      </c>
      <c r="C10" s="3">
        <v>0</v>
      </c>
      <c r="D10" s="3" t="s">
        <v>454</v>
      </c>
    </row>
    <row r="11" spans="1:4">
      <c r="A11" s="1" t="s">
        <v>455</v>
      </c>
      <c r="B11" s="1">
        <f>COUNTA(Grupos_mistos_auditoria!B2:B21)</f>
        <v>20</v>
      </c>
      <c r="C11" s="1">
        <v>20</v>
      </c>
      <c r="D11" s="1" t="s">
        <v>456</v>
      </c>
    </row>
    <row r="12" spans="1:4">
      <c r="A12" s="8" t="s">
        <v>457</v>
      </c>
      <c r="B12" s="8" t="s">
        <v>458</v>
      </c>
      <c r="C12" s="8" t="s">
        <v>459</v>
      </c>
      <c r="D12" s="8" t="s">
        <v>460</v>
      </c>
    </row>
    <row r="13" spans="1:4" ht="41.4">
      <c r="A13" s="3" t="s">
        <v>461</v>
      </c>
      <c r="B13" s="3" t="s">
        <v>462</v>
      </c>
      <c r="C13" s="3" t="s">
        <v>463</v>
      </c>
      <c r="D13" s="3" t="s">
        <v>464</v>
      </c>
    </row>
    <row r="14" spans="1:4" ht="27.6">
      <c r="A14" s="3" t="s">
        <v>465</v>
      </c>
      <c r="B14" s="3" t="s">
        <v>466</v>
      </c>
      <c r="C14" s="3" t="s">
        <v>467</v>
      </c>
      <c r="D14" s="3" t="s">
        <v>468</v>
      </c>
    </row>
    <row r="15" spans="1:4" ht="27.6">
      <c r="A15" s="3" t="s">
        <v>469</v>
      </c>
      <c r="B15" s="3" t="s">
        <v>470</v>
      </c>
      <c r="C15" s="3" t="s">
        <v>471</v>
      </c>
      <c r="D15" s="3" t="s">
        <v>472</v>
      </c>
    </row>
    <row r="16" spans="1:4" ht="27.6">
      <c r="A16" s="1" t="s">
        <v>473</v>
      </c>
      <c r="B16" s="1">
        <v>87</v>
      </c>
      <c r="C16" s="1">
        <v>87</v>
      </c>
      <c r="D16" s="1" t="s">
        <v>474</v>
      </c>
    </row>
    <row r="17" spans="1:4" ht="27.6">
      <c r="A17" s="3" t="s">
        <v>475</v>
      </c>
      <c r="B17" s="3">
        <v>2</v>
      </c>
      <c r="C17" s="3">
        <v>2</v>
      </c>
      <c r="D17" s="3" t="s">
        <v>476</v>
      </c>
    </row>
    <row r="18" spans="1:4" ht="27.6">
      <c r="A18" s="3" t="s">
        <v>477</v>
      </c>
      <c r="B18" s="3">
        <v>0</v>
      </c>
      <c r="C18" s="3">
        <v>0</v>
      </c>
      <c r="D18" s="3" t="s">
        <v>478</v>
      </c>
    </row>
    <row r="19" spans="1:4" ht="26.85" customHeight="1">
      <c r="A19" s="1" t="s">
        <v>479</v>
      </c>
      <c r="B19" s="1">
        <v>5</v>
      </c>
      <c r="C19" s="1">
        <v>5</v>
      </c>
      <c r="D19" s="1" t="s">
        <v>480</v>
      </c>
    </row>
    <row r="20" spans="1:4" ht="27.6">
      <c r="A20" s="3" t="s">
        <v>642</v>
      </c>
      <c r="B20" s="3">
        <v>1</v>
      </c>
      <c r="C20" s="3">
        <v>1</v>
      </c>
      <c r="D20" s="3" t="s">
        <v>643</v>
      </c>
    </row>
    <row r="21" spans="1:4" ht="27.6">
      <c r="A21" s="3" t="s">
        <v>644</v>
      </c>
      <c r="B21" s="3">
        <v>87</v>
      </c>
      <c r="C21" s="3">
        <v>87</v>
      </c>
      <c r="D21" s="3" t="s">
        <v>645</v>
      </c>
    </row>
    <row r="22" spans="1:4" ht="27.6">
      <c r="A22" s="1" t="s">
        <v>646</v>
      </c>
      <c r="B22" s="1">
        <v>20</v>
      </c>
      <c r="C22" s="1">
        <v>20</v>
      </c>
      <c r="D22" s="1" t="s">
        <v>647</v>
      </c>
    </row>
    <row r="23" spans="1:4" ht="27.6">
      <c r="A23" s="1" t="s">
        <v>648</v>
      </c>
      <c r="B23" s="1">
        <v>1</v>
      </c>
      <c r="C23" s="1">
        <v>1</v>
      </c>
      <c r="D23" s="1" t="s">
        <v>649</v>
      </c>
    </row>
    <row r="24" spans="1:4" ht="27.6">
      <c r="A24" s="3" t="s">
        <v>650</v>
      </c>
      <c r="B24" s="3">
        <v>1</v>
      </c>
      <c r="C24" s="3">
        <v>1</v>
      </c>
      <c r="D24" s="3" t="s">
        <v>651</v>
      </c>
    </row>
    <row r="25" spans="1:4" ht="27.6">
      <c r="A25" s="3" t="s">
        <v>652</v>
      </c>
      <c r="B25" s="3">
        <v>4</v>
      </c>
      <c r="C25" s="3">
        <v>4</v>
      </c>
      <c r="D25" s="3" t="s">
        <v>653</v>
      </c>
    </row>
    <row r="26" spans="1:4" ht="27.6">
      <c r="A26" s="3" t="s">
        <v>654</v>
      </c>
      <c r="B26" s="3">
        <v>1</v>
      </c>
      <c r="C26" s="3">
        <v>1</v>
      </c>
      <c r="D26" s="3" t="s">
        <v>655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21"/>
  <sheetViews>
    <sheetView workbookViewId="0"/>
  </sheetViews>
  <sheetFormatPr defaultRowHeight="13.8"/>
  <cols>
    <col min="1" max="1" width="10" customWidth="1"/>
    <col min="2" max="2" width="14" customWidth="1"/>
    <col min="3" max="3" width="64" customWidth="1"/>
    <col min="4" max="4" width="26" customWidth="1"/>
    <col min="5" max="5" width="64" customWidth="1"/>
    <col min="6" max="6" width="34" customWidth="1"/>
  </cols>
  <sheetData>
    <row r="1" spans="1:6">
      <c r="A1" s="18" t="s">
        <v>276</v>
      </c>
      <c r="B1" s="18" t="s">
        <v>481</v>
      </c>
      <c r="C1" s="18" t="s">
        <v>482</v>
      </c>
      <c r="D1" s="18" t="s">
        <v>483</v>
      </c>
      <c r="E1" s="18" t="s">
        <v>484</v>
      </c>
      <c r="F1" s="18" t="s">
        <v>485</v>
      </c>
    </row>
    <row r="2" spans="1:6" ht="17.399999999999999" customHeight="1">
      <c r="A2" s="19" t="s">
        <v>84</v>
      </c>
      <c r="B2" s="19" t="s">
        <v>486</v>
      </c>
      <c r="C2" s="19" t="s">
        <v>487</v>
      </c>
      <c r="D2" s="19" t="s">
        <v>66</v>
      </c>
      <c r="E2" s="19" t="s">
        <v>488</v>
      </c>
      <c r="F2" s="19" t="s">
        <v>489</v>
      </c>
    </row>
    <row r="3" spans="1:6" ht="17.399999999999999" customHeight="1">
      <c r="A3" s="19" t="s">
        <v>84</v>
      </c>
      <c r="B3" s="19" t="s">
        <v>340</v>
      </c>
      <c r="C3" s="19" t="s">
        <v>490</v>
      </c>
      <c r="D3" s="19" t="s">
        <v>66</v>
      </c>
      <c r="E3" s="19" t="s">
        <v>491</v>
      </c>
      <c r="F3" s="19" t="s">
        <v>489</v>
      </c>
    </row>
    <row r="4" spans="1:6" ht="17.399999999999999" customHeight="1">
      <c r="A4" s="19" t="s">
        <v>84</v>
      </c>
      <c r="B4" s="19" t="s">
        <v>306</v>
      </c>
      <c r="C4" s="19" t="s">
        <v>307</v>
      </c>
      <c r="D4" s="19" t="s">
        <v>92</v>
      </c>
      <c r="E4" s="19" t="s">
        <v>492</v>
      </c>
      <c r="F4" s="19" t="s">
        <v>489</v>
      </c>
    </row>
    <row r="5" spans="1:6" ht="17.399999999999999" customHeight="1">
      <c r="A5" s="19" t="s">
        <v>105</v>
      </c>
      <c r="B5" s="19" t="s">
        <v>493</v>
      </c>
      <c r="C5" s="19" t="s">
        <v>494</v>
      </c>
      <c r="D5" s="19" t="s">
        <v>92</v>
      </c>
      <c r="E5" s="19" t="s">
        <v>495</v>
      </c>
      <c r="F5" s="19" t="s">
        <v>489</v>
      </c>
    </row>
    <row r="6" spans="1:6" ht="17.399999999999999" customHeight="1">
      <c r="A6" s="19" t="s">
        <v>105</v>
      </c>
      <c r="B6" s="19" t="s">
        <v>496</v>
      </c>
      <c r="C6" s="19" t="s">
        <v>497</v>
      </c>
      <c r="D6" s="19" t="s">
        <v>92</v>
      </c>
      <c r="E6" s="19" t="s">
        <v>495</v>
      </c>
      <c r="F6" s="19" t="s">
        <v>489</v>
      </c>
    </row>
    <row r="7" spans="1:6" ht="17.399999999999999" customHeight="1">
      <c r="A7" s="19" t="s">
        <v>105</v>
      </c>
      <c r="B7" s="19" t="s">
        <v>498</v>
      </c>
      <c r="C7" s="19" t="s">
        <v>499</v>
      </c>
      <c r="D7" s="19" t="s">
        <v>92</v>
      </c>
      <c r="E7" s="19" t="s">
        <v>495</v>
      </c>
      <c r="F7" s="19" t="s">
        <v>489</v>
      </c>
    </row>
    <row r="8" spans="1:6" ht="17.399999999999999" customHeight="1">
      <c r="A8" s="19" t="s">
        <v>105</v>
      </c>
      <c r="B8" s="19" t="s">
        <v>346</v>
      </c>
      <c r="C8" s="19" t="s">
        <v>500</v>
      </c>
      <c r="D8" s="19" t="s">
        <v>92</v>
      </c>
      <c r="E8" s="19" t="s">
        <v>501</v>
      </c>
      <c r="F8" s="19" t="s">
        <v>489</v>
      </c>
    </row>
    <row r="9" spans="1:6" ht="17.399999999999999" customHeight="1">
      <c r="A9" s="19" t="s">
        <v>105</v>
      </c>
      <c r="B9" s="19" t="s">
        <v>291</v>
      </c>
      <c r="C9" s="19" t="s">
        <v>348</v>
      </c>
      <c r="D9" s="19" t="s">
        <v>95</v>
      </c>
      <c r="E9" s="19" t="s">
        <v>502</v>
      </c>
      <c r="F9" s="19" t="s">
        <v>489</v>
      </c>
    </row>
    <row r="10" spans="1:6" ht="17.399999999999999" customHeight="1">
      <c r="A10" s="19" t="s">
        <v>105</v>
      </c>
      <c r="B10" s="19" t="s">
        <v>503</v>
      </c>
      <c r="C10" s="19" t="s">
        <v>504</v>
      </c>
      <c r="D10" s="19" t="s">
        <v>92</v>
      </c>
      <c r="E10" s="19" t="s">
        <v>495</v>
      </c>
      <c r="F10" s="19" t="s">
        <v>489</v>
      </c>
    </row>
    <row r="11" spans="1:6" ht="17.399999999999999" customHeight="1">
      <c r="A11" s="19" t="s">
        <v>116</v>
      </c>
      <c r="B11" s="19" t="s">
        <v>317</v>
      </c>
      <c r="C11" s="19" t="s">
        <v>318</v>
      </c>
      <c r="D11" s="19" t="s">
        <v>92</v>
      </c>
      <c r="E11" s="19" t="s">
        <v>505</v>
      </c>
      <c r="F11" s="19" t="s">
        <v>489</v>
      </c>
    </row>
    <row r="12" spans="1:6" ht="17.399999999999999" customHeight="1">
      <c r="A12" s="19" t="s">
        <v>116</v>
      </c>
      <c r="B12" s="19" t="s">
        <v>356</v>
      </c>
      <c r="C12" s="19" t="s">
        <v>506</v>
      </c>
      <c r="D12" s="19" t="s">
        <v>95</v>
      </c>
      <c r="E12" s="19" t="s">
        <v>507</v>
      </c>
      <c r="F12" s="19" t="s">
        <v>489</v>
      </c>
    </row>
    <row r="13" spans="1:6" ht="17.399999999999999" customHeight="1">
      <c r="A13" s="19" t="s">
        <v>116</v>
      </c>
      <c r="B13" s="19" t="s">
        <v>286</v>
      </c>
      <c r="C13" s="19" t="s">
        <v>287</v>
      </c>
      <c r="D13" s="19" t="s">
        <v>98</v>
      </c>
      <c r="E13" s="19" t="s">
        <v>508</v>
      </c>
      <c r="F13" s="19" t="s">
        <v>509</v>
      </c>
    </row>
    <row r="14" spans="1:6" ht="17.399999999999999" customHeight="1">
      <c r="A14" s="19" t="s">
        <v>116</v>
      </c>
      <c r="B14" s="19" t="s">
        <v>510</v>
      </c>
      <c r="C14" s="19" t="s">
        <v>511</v>
      </c>
      <c r="D14" s="19" t="s">
        <v>95</v>
      </c>
      <c r="E14" s="19" t="s">
        <v>507</v>
      </c>
      <c r="F14" s="19" t="s">
        <v>489</v>
      </c>
    </row>
    <row r="15" spans="1:6" ht="17.399999999999999" customHeight="1">
      <c r="A15" s="19" t="s">
        <v>116</v>
      </c>
      <c r="B15" s="19" t="s">
        <v>512</v>
      </c>
      <c r="C15" s="19" t="s">
        <v>513</v>
      </c>
      <c r="D15" s="19" t="s">
        <v>95</v>
      </c>
      <c r="E15" s="19" t="s">
        <v>507</v>
      </c>
      <c r="F15" s="19" t="s">
        <v>489</v>
      </c>
    </row>
    <row r="16" spans="1:6" ht="17.399999999999999" customHeight="1">
      <c r="A16" s="19" t="s">
        <v>121</v>
      </c>
      <c r="B16" s="19" t="s">
        <v>514</v>
      </c>
      <c r="C16" s="19" t="s">
        <v>515</v>
      </c>
      <c r="D16" s="19" t="s">
        <v>66</v>
      </c>
      <c r="E16" s="19" t="s">
        <v>516</v>
      </c>
      <c r="F16" s="19" t="s">
        <v>489</v>
      </c>
    </row>
    <row r="17" spans="1:6" ht="17.399999999999999" customHeight="1">
      <c r="A17" s="19" t="s">
        <v>121</v>
      </c>
      <c r="B17" s="19" t="s">
        <v>517</v>
      </c>
      <c r="C17" s="19" t="s">
        <v>518</v>
      </c>
      <c r="D17" s="19" t="s">
        <v>66</v>
      </c>
      <c r="E17" s="19" t="s">
        <v>516</v>
      </c>
      <c r="F17" s="19" t="s">
        <v>489</v>
      </c>
    </row>
    <row r="18" spans="1:6" ht="17.399999999999999" customHeight="1">
      <c r="A18" s="19" t="s">
        <v>121</v>
      </c>
      <c r="B18" s="19" t="s">
        <v>519</v>
      </c>
      <c r="C18" s="19" t="s">
        <v>520</v>
      </c>
      <c r="D18" s="19" t="s">
        <v>66</v>
      </c>
      <c r="E18" s="19" t="s">
        <v>516</v>
      </c>
      <c r="F18" s="19" t="s">
        <v>489</v>
      </c>
    </row>
    <row r="19" spans="1:6" ht="17.399999999999999" customHeight="1">
      <c r="A19" s="19" t="s">
        <v>121</v>
      </c>
      <c r="B19" s="19" t="s">
        <v>521</v>
      </c>
      <c r="C19" s="19" t="s">
        <v>522</v>
      </c>
      <c r="D19" s="19" t="s">
        <v>66</v>
      </c>
      <c r="E19" s="19" t="s">
        <v>516</v>
      </c>
      <c r="F19" s="19" t="s">
        <v>489</v>
      </c>
    </row>
    <row r="20" spans="1:6" ht="17.399999999999999" customHeight="1">
      <c r="A20" s="19" t="s">
        <v>121</v>
      </c>
      <c r="B20" s="19" t="s">
        <v>302</v>
      </c>
      <c r="C20" s="19" t="s">
        <v>363</v>
      </c>
      <c r="D20" s="19" t="s">
        <v>95</v>
      </c>
      <c r="E20" s="19" t="s">
        <v>523</v>
      </c>
      <c r="F20" s="19" t="s">
        <v>509</v>
      </c>
    </row>
    <row r="21" spans="1:6" ht="17.399999999999999" customHeight="1">
      <c r="A21" s="19" t="s">
        <v>121</v>
      </c>
      <c r="B21" s="19" t="s">
        <v>524</v>
      </c>
      <c r="C21" s="19" t="s">
        <v>122</v>
      </c>
      <c r="D21" s="19" t="s">
        <v>66</v>
      </c>
      <c r="E21" s="19" t="s">
        <v>516</v>
      </c>
      <c r="F21" s="19" t="s">
        <v>489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88"/>
  <sheetViews>
    <sheetView workbookViewId="0"/>
  </sheetViews>
  <sheetFormatPr defaultRowHeight="13.8"/>
  <cols>
    <col min="1" max="1" width="10" customWidth="1"/>
    <col min="2" max="2" width="8" customWidth="1"/>
    <col min="3" max="3" width="68" customWidth="1"/>
    <col min="4" max="4" width="22" customWidth="1"/>
    <col min="5" max="5" width="72" customWidth="1"/>
  </cols>
  <sheetData>
    <row r="1" spans="1:5" ht="27.6">
      <c r="A1" s="9" t="s">
        <v>525</v>
      </c>
      <c r="B1" s="9" t="s">
        <v>29</v>
      </c>
      <c r="C1" s="9" t="s">
        <v>526</v>
      </c>
      <c r="D1" s="9" t="s">
        <v>527</v>
      </c>
      <c r="E1" s="9" t="s">
        <v>528</v>
      </c>
    </row>
    <row r="2" spans="1:5" ht="41.4">
      <c r="A2" s="3" t="s">
        <v>39</v>
      </c>
      <c r="B2" s="3" t="s">
        <v>40</v>
      </c>
      <c r="C2" s="3" t="s">
        <v>42</v>
      </c>
      <c r="D2" s="3" t="s">
        <v>529</v>
      </c>
      <c r="E2" s="3" t="s">
        <v>397</v>
      </c>
    </row>
    <row r="3" spans="1:5" ht="41.4">
      <c r="A3" s="3" t="s">
        <v>46</v>
      </c>
      <c r="B3" s="3" t="s">
        <v>40</v>
      </c>
      <c r="C3" s="3" t="s">
        <v>47</v>
      </c>
      <c r="D3" s="3" t="s">
        <v>529</v>
      </c>
      <c r="E3" s="3" t="s">
        <v>397</v>
      </c>
    </row>
    <row r="4" spans="1:5" ht="41.4">
      <c r="A4" s="3" t="s">
        <v>48</v>
      </c>
      <c r="B4" s="3" t="s">
        <v>40</v>
      </c>
      <c r="C4" s="3" t="s">
        <v>49</v>
      </c>
      <c r="D4" s="3" t="s">
        <v>529</v>
      </c>
      <c r="E4" s="3" t="s">
        <v>397</v>
      </c>
    </row>
    <row r="5" spans="1:5" ht="41.4">
      <c r="A5" s="3" t="s">
        <v>50</v>
      </c>
      <c r="B5" s="3" t="s">
        <v>51</v>
      </c>
      <c r="C5" s="3" t="s">
        <v>53</v>
      </c>
      <c r="D5" s="3" t="s">
        <v>529</v>
      </c>
      <c r="E5" s="3" t="s">
        <v>397</v>
      </c>
    </row>
    <row r="6" spans="1:5" ht="41.4">
      <c r="A6" s="3" t="s">
        <v>54</v>
      </c>
      <c r="B6" s="3" t="s">
        <v>51</v>
      </c>
      <c r="C6" s="3" t="s">
        <v>55</v>
      </c>
      <c r="D6" s="3" t="s">
        <v>529</v>
      </c>
      <c r="E6" s="3" t="s">
        <v>397</v>
      </c>
    </row>
    <row r="7" spans="1:5" ht="41.4">
      <c r="A7" s="3" t="s">
        <v>56</v>
      </c>
      <c r="B7" s="3" t="s">
        <v>51</v>
      </c>
      <c r="C7" s="3" t="s">
        <v>57</v>
      </c>
      <c r="D7" s="3" t="s">
        <v>529</v>
      </c>
      <c r="E7" s="3" t="s">
        <v>397</v>
      </c>
    </row>
    <row r="8" spans="1:5" ht="41.4">
      <c r="A8" s="3" t="s">
        <v>58</v>
      </c>
      <c r="B8" s="3" t="s">
        <v>51</v>
      </c>
      <c r="C8" s="3" t="s">
        <v>59</v>
      </c>
      <c r="D8" s="3" t="s">
        <v>529</v>
      </c>
      <c r="E8" s="3" t="s">
        <v>397</v>
      </c>
    </row>
    <row r="9" spans="1:5" ht="41.4">
      <c r="A9" s="3" t="s">
        <v>60</v>
      </c>
      <c r="B9" s="3" t="s">
        <v>51</v>
      </c>
      <c r="C9" s="3" t="s">
        <v>61</v>
      </c>
      <c r="D9" s="3" t="s">
        <v>529</v>
      </c>
      <c r="E9" s="3" t="s">
        <v>397</v>
      </c>
    </row>
    <row r="10" spans="1:5" ht="41.4">
      <c r="A10" s="3" t="s">
        <v>62</v>
      </c>
      <c r="B10" s="3" t="s">
        <v>63</v>
      </c>
      <c r="C10" s="3" t="s">
        <v>65</v>
      </c>
      <c r="D10" s="3" t="s">
        <v>529</v>
      </c>
      <c r="E10" s="3" t="s">
        <v>397</v>
      </c>
    </row>
    <row r="11" spans="1:5" ht="41.4">
      <c r="A11" s="3" t="s">
        <v>69</v>
      </c>
      <c r="B11" s="3" t="s">
        <v>63</v>
      </c>
      <c r="C11" s="3" t="s">
        <v>70</v>
      </c>
      <c r="D11" s="3" t="s">
        <v>529</v>
      </c>
      <c r="E11" s="3" t="s">
        <v>397</v>
      </c>
    </row>
    <row r="12" spans="1:5" ht="41.4">
      <c r="A12" s="3" t="s">
        <v>71</v>
      </c>
      <c r="B12" s="3" t="s">
        <v>63</v>
      </c>
      <c r="C12" s="3" t="s">
        <v>72</v>
      </c>
      <c r="D12" s="3" t="s">
        <v>529</v>
      </c>
      <c r="E12" s="3" t="s">
        <v>397</v>
      </c>
    </row>
    <row r="13" spans="1:5" ht="41.4">
      <c r="A13" s="3" t="s">
        <v>73</v>
      </c>
      <c r="B13" s="3" t="s">
        <v>63</v>
      </c>
      <c r="C13" s="3" t="s">
        <v>74</v>
      </c>
      <c r="D13" s="3" t="s">
        <v>529</v>
      </c>
      <c r="E13" s="3" t="s">
        <v>397</v>
      </c>
    </row>
    <row r="14" spans="1:5" ht="41.4">
      <c r="A14" s="3" t="s">
        <v>76</v>
      </c>
      <c r="B14" s="3" t="s">
        <v>63</v>
      </c>
      <c r="C14" s="3" t="s">
        <v>77</v>
      </c>
      <c r="D14" s="3" t="s">
        <v>529</v>
      </c>
      <c r="E14" s="3" t="s">
        <v>397</v>
      </c>
    </row>
    <row r="15" spans="1:5" ht="41.4">
      <c r="A15" s="3" t="s">
        <v>78</v>
      </c>
      <c r="B15" s="3" t="s">
        <v>63</v>
      </c>
      <c r="C15" s="3" t="s">
        <v>79</v>
      </c>
      <c r="D15" s="3" t="s">
        <v>529</v>
      </c>
      <c r="E15" s="3" t="s">
        <v>397</v>
      </c>
    </row>
    <row r="16" spans="1:5" ht="41.4">
      <c r="A16" s="3" t="s">
        <v>80</v>
      </c>
      <c r="B16" s="3" t="s">
        <v>63</v>
      </c>
      <c r="C16" s="3" t="s">
        <v>81</v>
      </c>
      <c r="D16" s="3" t="s">
        <v>529</v>
      </c>
      <c r="E16" s="3" t="s">
        <v>397</v>
      </c>
    </row>
    <row r="17" spans="1:5" ht="41.4">
      <c r="A17" s="3" t="s">
        <v>82</v>
      </c>
      <c r="B17" s="3" t="s">
        <v>63</v>
      </c>
      <c r="C17" s="3" t="s">
        <v>83</v>
      </c>
      <c r="D17" s="3" t="s">
        <v>529</v>
      </c>
      <c r="E17" s="3" t="s">
        <v>397</v>
      </c>
    </row>
    <row r="18" spans="1:5" ht="41.4">
      <c r="A18" s="3" t="s">
        <v>84</v>
      </c>
      <c r="B18" s="3" t="s">
        <v>63</v>
      </c>
      <c r="C18" s="3" t="s">
        <v>85</v>
      </c>
      <c r="D18" s="3" t="s">
        <v>529</v>
      </c>
      <c r="E18" s="3" t="s">
        <v>397</v>
      </c>
    </row>
    <row r="19" spans="1:5" ht="41.4">
      <c r="A19" s="3" t="s">
        <v>90</v>
      </c>
      <c r="B19" s="3" t="s">
        <v>63</v>
      </c>
      <c r="C19" s="3" t="s">
        <v>91</v>
      </c>
      <c r="D19" s="3" t="s">
        <v>529</v>
      </c>
      <c r="E19" s="3" t="s">
        <v>397</v>
      </c>
    </row>
    <row r="20" spans="1:5" ht="41.4">
      <c r="A20" s="3" t="s">
        <v>93</v>
      </c>
      <c r="B20" s="3" t="s">
        <v>63</v>
      </c>
      <c r="C20" s="3" t="s">
        <v>94</v>
      </c>
      <c r="D20" s="3" t="s">
        <v>529</v>
      </c>
      <c r="E20" s="3" t="s">
        <v>397</v>
      </c>
    </row>
    <row r="21" spans="1:5" ht="41.4">
      <c r="A21" s="3" t="s">
        <v>96</v>
      </c>
      <c r="B21" s="3" t="s">
        <v>63</v>
      </c>
      <c r="C21" s="3" t="s">
        <v>97</v>
      </c>
      <c r="D21" s="3" t="s">
        <v>529</v>
      </c>
      <c r="E21" s="3" t="s">
        <v>397</v>
      </c>
    </row>
    <row r="22" spans="1:5" ht="41.4">
      <c r="A22" s="3" t="s">
        <v>99</v>
      </c>
      <c r="B22" s="3" t="s">
        <v>63</v>
      </c>
      <c r="C22" s="3" t="s">
        <v>100</v>
      </c>
      <c r="D22" s="3" t="s">
        <v>529</v>
      </c>
      <c r="E22" s="3" t="s">
        <v>397</v>
      </c>
    </row>
    <row r="23" spans="1:5" ht="41.4">
      <c r="A23" s="3" t="s">
        <v>101</v>
      </c>
      <c r="B23" s="3" t="s">
        <v>63</v>
      </c>
      <c r="C23" s="3" t="s">
        <v>102</v>
      </c>
      <c r="D23" s="3" t="s">
        <v>529</v>
      </c>
      <c r="E23" s="3" t="s">
        <v>397</v>
      </c>
    </row>
    <row r="24" spans="1:5" ht="41.4">
      <c r="A24" s="3" t="s">
        <v>103</v>
      </c>
      <c r="B24" s="3" t="s">
        <v>63</v>
      </c>
      <c r="C24" s="3" t="s">
        <v>104</v>
      </c>
      <c r="D24" s="3" t="s">
        <v>529</v>
      </c>
      <c r="E24" s="3" t="s">
        <v>397</v>
      </c>
    </row>
    <row r="25" spans="1:5" ht="41.4">
      <c r="A25" s="3" t="s">
        <v>105</v>
      </c>
      <c r="B25" s="3" t="s">
        <v>63</v>
      </c>
      <c r="C25" s="3" t="s">
        <v>106</v>
      </c>
      <c r="D25" s="3" t="s">
        <v>529</v>
      </c>
      <c r="E25" s="3" t="s">
        <v>397</v>
      </c>
    </row>
    <row r="26" spans="1:5" ht="41.4">
      <c r="A26" s="3" t="s">
        <v>108</v>
      </c>
      <c r="B26" s="3" t="s">
        <v>63</v>
      </c>
      <c r="C26" s="3" t="s">
        <v>109</v>
      </c>
      <c r="D26" s="3" t="s">
        <v>529</v>
      </c>
      <c r="E26" s="3" t="s">
        <v>397</v>
      </c>
    </row>
    <row r="27" spans="1:5" ht="41.4">
      <c r="A27" s="3" t="s">
        <v>110</v>
      </c>
      <c r="B27" s="3" t="s">
        <v>63</v>
      </c>
      <c r="C27" s="3" t="s">
        <v>111</v>
      </c>
      <c r="D27" s="3" t="s">
        <v>529</v>
      </c>
      <c r="E27" s="3" t="s">
        <v>397</v>
      </c>
    </row>
    <row r="28" spans="1:5" ht="41.4">
      <c r="A28" s="3" t="s">
        <v>112</v>
      </c>
      <c r="B28" s="3" t="s">
        <v>63</v>
      </c>
      <c r="C28" s="3" t="s">
        <v>113</v>
      </c>
      <c r="D28" s="3" t="s">
        <v>529</v>
      </c>
      <c r="E28" s="3" t="s">
        <v>397</v>
      </c>
    </row>
    <row r="29" spans="1:5" ht="41.4">
      <c r="A29" s="3" t="s">
        <v>114</v>
      </c>
      <c r="B29" s="3" t="s">
        <v>63</v>
      </c>
      <c r="C29" s="3" t="s">
        <v>115</v>
      </c>
      <c r="D29" s="3" t="s">
        <v>529</v>
      </c>
      <c r="E29" s="3" t="s">
        <v>397</v>
      </c>
    </row>
    <row r="30" spans="1:5" ht="41.4">
      <c r="A30" s="3" t="s">
        <v>116</v>
      </c>
      <c r="B30" s="3" t="s">
        <v>63</v>
      </c>
      <c r="C30" s="3" t="s">
        <v>117</v>
      </c>
      <c r="D30" s="3" t="s">
        <v>529</v>
      </c>
      <c r="E30" s="3" t="s">
        <v>397</v>
      </c>
    </row>
    <row r="31" spans="1:5" ht="41.4">
      <c r="A31" s="3" t="s">
        <v>119</v>
      </c>
      <c r="B31" s="3" t="s">
        <v>63</v>
      </c>
      <c r="C31" s="3" t="s">
        <v>120</v>
      </c>
      <c r="D31" s="3" t="s">
        <v>529</v>
      </c>
      <c r="E31" s="3" t="s">
        <v>397</v>
      </c>
    </row>
    <row r="32" spans="1:5" ht="41.4">
      <c r="A32" s="3" t="s">
        <v>121</v>
      </c>
      <c r="B32" s="3" t="s">
        <v>63</v>
      </c>
      <c r="C32" s="3" t="s">
        <v>122</v>
      </c>
      <c r="D32" s="3" t="s">
        <v>529</v>
      </c>
      <c r="E32" s="3" t="s">
        <v>397</v>
      </c>
    </row>
    <row r="33" spans="1:5" ht="41.4">
      <c r="A33" s="3" t="s">
        <v>124</v>
      </c>
      <c r="B33" s="3" t="s">
        <v>63</v>
      </c>
      <c r="C33" s="3" t="s">
        <v>125</v>
      </c>
      <c r="D33" s="3" t="s">
        <v>529</v>
      </c>
      <c r="E33" s="3" t="s">
        <v>397</v>
      </c>
    </row>
    <row r="34" spans="1:5" ht="41.4">
      <c r="A34" s="3" t="s">
        <v>126</v>
      </c>
      <c r="B34" s="3" t="s">
        <v>127</v>
      </c>
      <c r="C34" s="3" t="s">
        <v>129</v>
      </c>
      <c r="D34" s="3" t="s">
        <v>529</v>
      </c>
      <c r="E34" s="3" t="s">
        <v>397</v>
      </c>
    </row>
    <row r="35" spans="1:5" ht="41.4">
      <c r="A35" s="3" t="s">
        <v>130</v>
      </c>
      <c r="B35" s="3" t="s">
        <v>131</v>
      </c>
      <c r="C35" s="3" t="s">
        <v>133</v>
      </c>
      <c r="D35" s="3" t="s">
        <v>529</v>
      </c>
      <c r="E35" s="3" t="s">
        <v>397</v>
      </c>
    </row>
    <row r="36" spans="1:5" ht="41.4">
      <c r="A36" s="3" t="s">
        <v>134</v>
      </c>
      <c r="B36" s="3" t="s">
        <v>131</v>
      </c>
      <c r="C36" s="3" t="s">
        <v>135</v>
      </c>
      <c r="D36" s="3" t="s">
        <v>529</v>
      </c>
      <c r="E36" s="3" t="s">
        <v>397</v>
      </c>
    </row>
    <row r="37" spans="1:5" ht="41.4">
      <c r="A37" s="3" t="s">
        <v>136</v>
      </c>
      <c r="B37" s="3" t="s">
        <v>131</v>
      </c>
      <c r="C37" s="3" t="s">
        <v>137</v>
      </c>
      <c r="D37" s="3" t="s">
        <v>529</v>
      </c>
      <c r="E37" s="3" t="s">
        <v>397</v>
      </c>
    </row>
    <row r="38" spans="1:5" ht="41.4">
      <c r="A38" s="3" t="s">
        <v>138</v>
      </c>
      <c r="B38" s="3" t="s">
        <v>131</v>
      </c>
      <c r="C38" s="3" t="s">
        <v>139</v>
      </c>
      <c r="D38" s="3" t="s">
        <v>529</v>
      </c>
      <c r="E38" s="3" t="s">
        <v>397</v>
      </c>
    </row>
    <row r="39" spans="1:5" ht="41.4">
      <c r="A39" s="3" t="s">
        <v>140</v>
      </c>
      <c r="B39" s="3" t="s">
        <v>141</v>
      </c>
      <c r="C39" s="3" t="s">
        <v>143</v>
      </c>
      <c r="D39" s="3" t="s">
        <v>529</v>
      </c>
      <c r="E39" s="3" t="s">
        <v>397</v>
      </c>
    </row>
    <row r="40" spans="1:5" ht="41.4">
      <c r="A40" s="3" t="s">
        <v>144</v>
      </c>
      <c r="B40" s="3" t="s">
        <v>141</v>
      </c>
      <c r="C40" s="3" t="s">
        <v>145</v>
      </c>
      <c r="D40" s="3" t="s">
        <v>529</v>
      </c>
      <c r="E40" s="3" t="s">
        <v>397</v>
      </c>
    </row>
    <row r="41" spans="1:5" ht="41.4">
      <c r="A41" s="3" t="s">
        <v>146</v>
      </c>
      <c r="B41" s="3" t="s">
        <v>141</v>
      </c>
      <c r="C41" s="3" t="s">
        <v>147</v>
      </c>
      <c r="D41" s="3" t="s">
        <v>529</v>
      </c>
      <c r="E41" s="3" t="s">
        <v>397</v>
      </c>
    </row>
    <row r="42" spans="1:5" ht="41.4">
      <c r="A42" s="3" t="s">
        <v>148</v>
      </c>
      <c r="B42" s="3" t="s">
        <v>149</v>
      </c>
      <c r="C42" s="3" t="s">
        <v>151</v>
      </c>
      <c r="D42" s="3" t="s">
        <v>529</v>
      </c>
      <c r="E42" s="3" t="s">
        <v>397</v>
      </c>
    </row>
    <row r="43" spans="1:5" ht="41.4">
      <c r="A43" s="3" t="s">
        <v>154</v>
      </c>
      <c r="B43" s="3" t="s">
        <v>149</v>
      </c>
      <c r="C43" s="3" t="s">
        <v>155</v>
      </c>
      <c r="D43" s="3" t="s">
        <v>529</v>
      </c>
      <c r="E43" s="3" t="s">
        <v>397</v>
      </c>
    </row>
    <row r="44" spans="1:5" ht="41.4">
      <c r="A44" s="3" t="s">
        <v>156</v>
      </c>
      <c r="B44" s="3" t="s">
        <v>149</v>
      </c>
      <c r="C44" s="3" t="s">
        <v>157</v>
      </c>
      <c r="D44" s="3" t="s">
        <v>529</v>
      </c>
      <c r="E44" s="3" t="s">
        <v>397</v>
      </c>
    </row>
    <row r="45" spans="1:5" ht="41.4">
      <c r="A45" s="3" t="s">
        <v>158</v>
      </c>
      <c r="B45" s="3" t="s">
        <v>159</v>
      </c>
      <c r="C45" s="3" t="s">
        <v>161</v>
      </c>
      <c r="D45" s="3" t="s">
        <v>529</v>
      </c>
      <c r="E45" s="3" t="s">
        <v>397</v>
      </c>
    </row>
    <row r="46" spans="1:5" ht="41.4">
      <c r="A46" s="3" t="s">
        <v>162</v>
      </c>
      <c r="B46" s="3" t="s">
        <v>159</v>
      </c>
      <c r="C46" s="3" t="s">
        <v>163</v>
      </c>
      <c r="D46" s="3" t="s">
        <v>529</v>
      </c>
      <c r="E46" s="3" t="s">
        <v>397</v>
      </c>
    </row>
    <row r="47" spans="1:5" ht="41.4">
      <c r="A47" s="3" t="s">
        <v>166</v>
      </c>
      <c r="B47" s="3" t="s">
        <v>159</v>
      </c>
      <c r="C47" s="3" t="s">
        <v>167</v>
      </c>
      <c r="D47" s="3" t="s">
        <v>529</v>
      </c>
      <c r="E47" s="3" t="s">
        <v>397</v>
      </c>
    </row>
    <row r="48" spans="1:5" ht="41.4">
      <c r="A48" s="3" t="s">
        <v>168</v>
      </c>
      <c r="B48" s="3" t="s">
        <v>159</v>
      </c>
      <c r="C48" s="3" t="s">
        <v>169</v>
      </c>
      <c r="D48" s="3" t="s">
        <v>529</v>
      </c>
      <c r="E48" s="3" t="s">
        <v>397</v>
      </c>
    </row>
    <row r="49" spans="1:5" ht="41.4">
      <c r="A49" s="3" t="s">
        <v>170</v>
      </c>
      <c r="B49" s="3" t="s">
        <v>159</v>
      </c>
      <c r="C49" s="3" t="s">
        <v>171</v>
      </c>
      <c r="D49" s="3" t="s">
        <v>529</v>
      </c>
      <c r="E49" s="3" t="s">
        <v>397</v>
      </c>
    </row>
    <row r="50" spans="1:5" ht="41.4">
      <c r="A50" s="3" t="s">
        <v>173</v>
      </c>
      <c r="B50" s="3" t="s">
        <v>174</v>
      </c>
      <c r="C50" s="3" t="s">
        <v>176</v>
      </c>
      <c r="D50" s="3" t="s">
        <v>529</v>
      </c>
      <c r="E50" s="3" t="s">
        <v>397</v>
      </c>
    </row>
    <row r="51" spans="1:5" ht="41.4">
      <c r="A51" s="3" t="s">
        <v>177</v>
      </c>
      <c r="B51" s="3" t="s">
        <v>174</v>
      </c>
      <c r="C51" s="3" t="s">
        <v>178</v>
      </c>
      <c r="D51" s="3" t="s">
        <v>529</v>
      </c>
      <c r="E51" s="3" t="s">
        <v>397</v>
      </c>
    </row>
    <row r="52" spans="1:5" ht="41.4">
      <c r="A52" s="3" t="s">
        <v>179</v>
      </c>
      <c r="B52" s="3" t="s">
        <v>180</v>
      </c>
      <c r="C52" s="3" t="s">
        <v>182</v>
      </c>
      <c r="D52" s="3" t="s">
        <v>529</v>
      </c>
      <c r="E52" s="3" t="s">
        <v>397</v>
      </c>
    </row>
    <row r="53" spans="1:5" ht="41.4">
      <c r="A53" s="3" t="s">
        <v>184</v>
      </c>
      <c r="B53" s="3" t="s">
        <v>180</v>
      </c>
      <c r="C53" s="3" t="s">
        <v>185</v>
      </c>
      <c r="D53" s="3" t="s">
        <v>529</v>
      </c>
      <c r="E53" s="3" t="s">
        <v>397</v>
      </c>
    </row>
    <row r="54" spans="1:5" ht="41.4">
      <c r="A54" s="3" t="s">
        <v>187</v>
      </c>
      <c r="B54" s="3" t="s">
        <v>180</v>
      </c>
      <c r="C54" s="3" t="s">
        <v>188</v>
      </c>
      <c r="D54" s="3" t="s">
        <v>529</v>
      </c>
      <c r="E54" s="3" t="s">
        <v>397</v>
      </c>
    </row>
    <row r="55" spans="1:5" ht="41.4">
      <c r="A55" s="3" t="s">
        <v>189</v>
      </c>
      <c r="B55" s="3" t="s">
        <v>180</v>
      </c>
      <c r="C55" s="3" t="s">
        <v>190</v>
      </c>
      <c r="D55" s="3" t="s">
        <v>529</v>
      </c>
      <c r="E55" s="3" t="s">
        <v>397</v>
      </c>
    </row>
    <row r="56" spans="1:5" ht="41.4">
      <c r="A56" s="3" t="s">
        <v>191</v>
      </c>
      <c r="B56" s="3" t="s">
        <v>180</v>
      </c>
      <c r="C56" s="3" t="s">
        <v>192</v>
      </c>
      <c r="D56" s="3" t="s">
        <v>529</v>
      </c>
      <c r="E56" s="3" t="s">
        <v>397</v>
      </c>
    </row>
    <row r="57" spans="1:5" ht="41.4">
      <c r="A57" s="3" t="s">
        <v>193</v>
      </c>
      <c r="B57" s="3" t="s">
        <v>180</v>
      </c>
      <c r="C57" s="3" t="s">
        <v>194</v>
      </c>
      <c r="D57" s="3" t="s">
        <v>529</v>
      </c>
      <c r="E57" s="3" t="s">
        <v>397</v>
      </c>
    </row>
    <row r="58" spans="1:5" ht="41.4">
      <c r="A58" s="3" t="s">
        <v>195</v>
      </c>
      <c r="B58" s="3" t="s">
        <v>196</v>
      </c>
      <c r="C58" s="3" t="s">
        <v>198</v>
      </c>
      <c r="D58" s="3" t="s">
        <v>529</v>
      </c>
      <c r="E58" s="3" t="s">
        <v>397</v>
      </c>
    </row>
    <row r="59" spans="1:5" ht="41.4">
      <c r="A59" s="3" t="s">
        <v>200</v>
      </c>
      <c r="B59" s="3" t="s">
        <v>196</v>
      </c>
      <c r="C59" s="3" t="s">
        <v>201</v>
      </c>
      <c r="D59" s="3" t="s">
        <v>529</v>
      </c>
      <c r="E59" s="3" t="s">
        <v>397</v>
      </c>
    </row>
    <row r="60" spans="1:5" ht="41.4">
      <c r="A60" s="3" t="s">
        <v>202</v>
      </c>
      <c r="B60" s="3" t="s">
        <v>196</v>
      </c>
      <c r="C60" s="3" t="s">
        <v>203</v>
      </c>
      <c r="D60" s="3" t="s">
        <v>529</v>
      </c>
      <c r="E60" s="3" t="s">
        <v>397</v>
      </c>
    </row>
    <row r="61" spans="1:5" ht="41.4">
      <c r="A61" s="3" t="s">
        <v>204</v>
      </c>
      <c r="B61" s="3" t="s">
        <v>205</v>
      </c>
      <c r="C61" s="3" t="s">
        <v>206</v>
      </c>
      <c r="D61" s="3" t="s">
        <v>529</v>
      </c>
      <c r="E61" s="3" t="s">
        <v>397</v>
      </c>
    </row>
    <row r="62" spans="1:5" ht="41.4">
      <c r="A62" s="3" t="s">
        <v>207</v>
      </c>
      <c r="B62" s="3" t="s">
        <v>208</v>
      </c>
      <c r="C62" s="3" t="s">
        <v>210</v>
      </c>
      <c r="D62" s="3" t="s">
        <v>529</v>
      </c>
      <c r="E62" s="3" t="s">
        <v>397</v>
      </c>
    </row>
    <row r="63" spans="1:5" ht="41.4">
      <c r="A63" s="3" t="s">
        <v>211</v>
      </c>
      <c r="B63" s="3" t="s">
        <v>208</v>
      </c>
      <c r="C63" s="3" t="s">
        <v>212</v>
      </c>
      <c r="D63" s="3" t="s">
        <v>529</v>
      </c>
      <c r="E63" s="3" t="s">
        <v>397</v>
      </c>
    </row>
    <row r="64" spans="1:5" ht="41.4">
      <c r="A64" s="3" t="s">
        <v>213</v>
      </c>
      <c r="B64" s="3" t="s">
        <v>208</v>
      </c>
      <c r="C64" s="3" t="s">
        <v>214</v>
      </c>
      <c r="D64" s="3" t="s">
        <v>529</v>
      </c>
      <c r="E64" s="3" t="s">
        <v>397</v>
      </c>
    </row>
    <row r="65" spans="1:5" ht="41.4">
      <c r="A65" s="3" t="s">
        <v>215</v>
      </c>
      <c r="B65" s="3" t="s">
        <v>208</v>
      </c>
      <c r="C65" s="3" t="s">
        <v>216</v>
      </c>
      <c r="D65" s="3" t="s">
        <v>529</v>
      </c>
      <c r="E65" s="3" t="s">
        <v>397</v>
      </c>
    </row>
    <row r="66" spans="1:5" ht="41.4">
      <c r="A66" s="3" t="s">
        <v>217</v>
      </c>
      <c r="B66" s="3" t="s">
        <v>208</v>
      </c>
      <c r="C66" s="3" t="s">
        <v>218</v>
      </c>
      <c r="D66" s="3" t="s">
        <v>529</v>
      </c>
      <c r="E66" s="3" t="s">
        <v>397</v>
      </c>
    </row>
    <row r="67" spans="1:5" ht="41.4">
      <c r="A67" s="3" t="s">
        <v>219</v>
      </c>
      <c r="B67" s="3" t="s">
        <v>208</v>
      </c>
      <c r="C67" s="3" t="s">
        <v>220</v>
      </c>
      <c r="D67" s="3" t="s">
        <v>529</v>
      </c>
      <c r="E67" s="3" t="s">
        <v>397</v>
      </c>
    </row>
    <row r="68" spans="1:5" ht="41.4">
      <c r="A68" s="3" t="s">
        <v>221</v>
      </c>
      <c r="B68" s="3" t="s">
        <v>208</v>
      </c>
      <c r="C68" s="3" t="s">
        <v>222</v>
      </c>
      <c r="D68" s="3" t="s">
        <v>529</v>
      </c>
      <c r="E68" s="3" t="s">
        <v>397</v>
      </c>
    </row>
    <row r="69" spans="1:5" ht="41.4">
      <c r="A69" s="3" t="s">
        <v>223</v>
      </c>
      <c r="B69" s="3" t="s">
        <v>224</v>
      </c>
      <c r="C69" s="3" t="s">
        <v>226</v>
      </c>
      <c r="D69" s="3" t="s">
        <v>529</v>
      </c>
      <c r="E69" s="3" t="s">
        <v>397</v>
      </c>
    </row>
    <row r="70" spans="1:5" ht="41.4">
      <c r="A70" s="3" t="s">
        <v>227</v>
      </c>
      <c r="B70" s="3" t="s">
        <v>224</v>
      </c>
      <c r="C70" s="3" t="s">
        <v>228</v>
      </c>
      <c r="D70" s="3" t="s">
        <v>529</v>
      </c>
      <c r="E70" s="3" t="s">
        <v>397</v>
      </c>
    </row>
    <row r="71" spans="1:5" ht="41.4">
      <c r="A71" s="3" t="s">
        <v>229</v>
      </c>
      <c r="B71" s="3" t="s">
        <v>224</v>
      </c>
      <c r="C71" s="3" t="s">
        <v>230</v>
      </c>
      <c r="D71" s="3" t="s">
        <v>529</v>
      </c>
      <c r="E71" s="3" t="s">
        <v>397</v>
      </c>
    </row>
    <row r="72" spans="1:5" ht="41.4">
      <c r="A72" s="3" t="s">
        <v>231</v>
      </c>
      <c r="B72" s="3" t="s">
        <v>224</v>
      </c>
      <c r="C72" s="3" t="s">
        <v>232</v>
      </c>
      <c r="D72" s="3" t="s">
        <v>529</v>
      </c>
      <c r="E72" s="3" t="s">
        <v>397</v>
      </c>
    </row>
    <row r="73" spans="1:5" ht="41.4">
      <c r="A73" s="3" t="s">
        <v>233</v>
      </c>
      <c r="B73" s="3" t="s">
        <v>224</v>
      </c>
      <c r="C73" s="3" t="s">
        <v>234</v>
      </c>
      <c r="D73" s="3" t="s">
        <v>529</v>
      </c>
      <c r="E73" s="3" t="s">
        <v>397</v>
      </c>
    </row>
    <row r="74" spans="1:5" ht="41.4">
      <c r="A74" s="3" t="s">
        <v>235</v>
      </c>
      <c r="B74" s="3" t="s">
        <v>224</v>
      </c>
      <c r="C74" s="3" t="s">
        <v>236</v>
      </c>
      <c r="D74" s="3" t="s">
        <v>529</v>
      </c>
      <c r="E74" s="3" t="s">
        <v>397</v>
      </c>
    </row>
    <row r="75" spans="1:5" ht="41.4">
      <c r="A75" s="3" t="s">
        <v>237</v>
      </c>
      <c r="B75" s="3" t="s">
        <v>238</v>
      </c>
      <c r="C75" s="3" t="s">
        <v>239</v>
      </c>
      <c r="D75" s="3" t="s">
        <v>529</v>
      </c>
      <c r="E75" s="3" t="s">
        <v>397</v>
      </c>
    </row>
    <row r="76" spans="1:5" ht="41.4">
      <c r="A76" s="3" t="s">
        <v>240</v>
      </c>
      <c r="B76" s="3" t="s">
        <v>241</v>
      </c>
      <c r="C76" s="3" t="s">
        <v>242</v>
      </c>
      <c r="D76" s="3" t="s">
        <v>529</v>
      </c>
      <c r="E76" s="3" t="s">
        <v>397</v>
      </c>
    </row>
    <row r="77" spans="1:5" ht="41.4">
      <c r="A77" s="3" t="s">
        <v>243</v>
      </c>
      <c r="B77" s="3" t="s">
        <v>244</v>
      </c>
      <c r="C77" s="3" t="s">
        <v>246</v>
      </c>
      <c r="D77" s="3" t="s">
        <v>529</v>
      </c>
      <c r="E77" s="3" t="s">
        <v>397</v>
      </c>
    </row>
    <row r="78" spans="1:5" ht="41.4">
      <c r="A78" s="3" t="s">
        <v>247</v>
      </c>
      <c r="B78" s="3" t="s">
        <v>244</v>
      </c>
      <c r="C78" s="3" t="s">
        <v>248</v>
      </c>
      <c r="D78" s="3" t="s">
        <v>529</v>
      </c>
      <c r="E78" s="3" t="s">
        <v>397</v>
      </c>
    </row>
    <row r="79" spans="1:5" ht="41.4">
      <c r="A79" s="3" t="s">
        <v>249</v>
      </c>
      <c r="B79" s="3" t="s">
        <v>244</v>
      </c>
      <c r="C79" s="3" t="s">
        <v>250</v>
      </c>
      <c r="D79" s="3" t="s">
        <v>529</v>
      </c>
      <c r="E79" s="3" t="s">
        <v>397</v>
      </c>
    </row>
    <row r="80" spans="1:5" ht="41.4">
      <c r="A80" s="3" t="s">
        <v>251</v>
      </c>
      <c r="B80" s="3" t="s">
        <v>252</v>
      </c>
      <c r="C80" s="3" t="s">
        <v>254</v>
      </c>
      <c r="D80" s="3" t="s">
        <v>529</v>
      </c>
      <c r="E80" s="3" t="s">
        <v>397</v>
      </c>
    </row>
    <row r="81" spans="1:5" ht="41.4">
      <c r="A81" s="3" t="s">
        <v>255</v>
      </c>
      <c r="B81" s="3" t="s">
        <v>252</v>
      </c>
      <c r="C81" s="3" t="s">
        <v>256</v>
      </c>
      <c r="D81" s="3" t="s">
        <v>529</v>
      </c>
      <c r="E81" s="3" t="s">
        <v>397</v>
      </c>
    </row>
    <row r="82" spans="1:5" ht="41.4">
      <c r="A82" s="3" t="s">
        <v>257</v>
      </c>
      <c r="B82" s="3" t="s">
        <v>252</v>
      </c>
      <c r="C82" s="3" t="s">
        <v>258</v>
      </c>
      <c r="D82" s="3" t="s">
        <v>529</v>
      </c>
      <c r="E82" s="3" t="s">
        <v>397</v>
      </c>
    </row>
    <row r="83" spans="1:5" ht="41.4">
      <c r="A83" s="3" t="s">
        <v>259</v>
      </c>
      <c r="B83" s="3" t="s">
        <v>252</v>
      </c>
      <c r="C83" s="3" t="s">
        <v>260</v>
      </c>
      <c r="D83" s="3" t="s">
        <v>529</v>
      </c>
      <c r="E83" s="3" t="s">
        <v>397</v>
      </c>
    </row>
    <row r="84" spans="1:5" ht="41.4">
      <c r="A84" s="3" t="s">
        <v>261</v>
      </c>
      <c r="B84" s="3" t="s">
        <v>262</v>
      </c>
      <c r="C84" s="3" t="s">
        <v>264</v>
      </c>
      <c r="D84" s="3" t="s">
        <v>529</v>
      </c>
      <c r="E84" s="3" t="s">
        <v>397</v>
      </c>
    </row>
    <row r="85" spans="1:5" ht="41.4">
      <c r="A85" s="3" t="s">
        <v>265</v>
      </c>
      <c r="B85" s="3" t="s">
        <v>262</v>
      </c>
      <c r="C85" s="3" t="s">
        <v>266</v>
      </c>
      <c r="D85" s="3" t="s">
        <v>529</v>
      </c>
      <c r="E85" s="3" t="s">
        <v>397</v>
      </c>
    </row>
    <row r="86" spans="1:5" ht="41.4">
      <c r="A86" s="3" t="s">
        <v>267</v>
      </c>
      <c r="B86" s="3" t="s">
        <v>262</v>
      </c>
      <c r="C86" s="3" t="s">
        <v>268</v>
      </c>
      <c r="D86" s="3" t="s">
        <v>529</v>
      </c>
      <c r="E86" s="3" t="s">
        <v>397</v>
      </c>
    </row>
    <row r="87" spans="1:5" ht="41.4">
      <c r="A87" s="3" t="s">
        <v>269</v>
      </c>
      <c r="B87" s="3" t="s">
        <v>270</v>
      </c>
      <c r="C87" s="3" t="s">
        <v>271</v>
      </c>
      <c r="D87" s="3" t="s">
        <v>529</v>
      </c>
      <c r="E87" s="3" t="s">
        <v>397</v>
      </c>
    </row>
    <row r="88" spans="1:5" ht="41.4">
      <c r="A88" s="3" t="s">
        <v>272</v>
      </c>
      <c r="B88" s="3" t="s">
        <v>273</v>
      </c>
      <c r="C88" s="3" t="s">
        <v>274</v>
      </c>
      <c r="D88" s="3" t="s">
        <v>529</v>
      </c>
      <c r="E88" s="3" t="s">
        <v>397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3"/>
  <sheetViews>
    <sheetView workbookViewId="0"/>
  </sheetViews>
  <sheetFormatPr defaultRowHeight="13.8"/>
  <cols>
    <col min="1" max="1" width="10" customWidth="1"/>
    <col min="2" max="2" width="24" customWidth="1"/>
    <col min="3" max="3" width="58" customWidth="1"/>
    <col min="4" max="4" width="65" customWidth="1"/>
    <col min="5" max="6" width="60" customWidth="1"/>
    <col min="7" max="7" width="68" customWidth="1"/>
  </cols>
  <sheetData>
    <row r="1" spans="1:7">
      <c r="A1" s="17" t="s">
        <v>530</v>
      </c>
      <c r="B1" s="17" t="s">
        <v>531</v>
      </c>
      <c r="C1" s="17" t="s">
        <v>532</v>
      </c>
      <c r="D1" s="17" t="s">
        <v>533</v>
      </c>
      <c r="E1" s="17" t="s">
        <v>534</v>
      </c>
      <c r="F1" s="17" t="s">
        <v>535</v>
      </c>
      <c r="G1" s="17" t="s">
        <v>536</v>
      </c>
    </row>
    <row r="2" spans="1:7" ht="17.399999999999999" customHeight="1">
      <c r="A2" s="19" t="s">
        <v>48</v>
      </c>
      <c r="B2" s="19" t="s">
        <v>537</v>
      </c>
      <c r="C2" s="19" t="s">
        <v>49</v>
      </c>
      <c r="D2" s="19" t="s">
        <v>538</v>
      </c>
      <c r="E2" s="19" t="s">
        <v>539</v>
      </c>
      <c r="F2" s="19" t="s">
        <v>540</v>
      </c>
      <c r="G2" s="19" t="s">
        <v>541</v>
      </c>
    </row>
    <row r="3" spans="1:7" ht="17.399999999999999" customHeight="1">
      <c r="A3" s="19" t="s">
        <v>235</v>
      </c>
      <c r="B3" s="19" t="s">
        <v>537</v>
      </c>
      <c r="C3" s="19" t="s">
        <v>236</v>
      </c>
      <c r="D3" s="19" t="s">
        <v>542</v>
      </c>
      <c r="E3" s="19" t="s">
        <v>543</v>
      </c>
      <c r="F3" s="19" t="s">
        <v>544</v>
      </c>
      <c r="G3" s="19" t="s">
        <v>545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21"/>
  <sheetViews>
    <sheetView topLeftCell="C10" workbookViewId="0"/>
  </sheetViews>
  <sheetFormatPr defaultRowHeight="13.8"/>
  <cols>
    <col min="1" max="1" width="36" customWidth="1"/>
    <col min="2" max="2" width="30" customWidth="1"/>
    <col min="3" max="3" width="65" customWidth="1"/>
    <col min="4" max="4" width="42" customWidth="1"/>
    <col min="5" max="5" width="68" customWidth="1"/>
    <col min="6" max="6" width="12" customWidth="1"/>
  </cols>
  <sheetData>
    <row r="1" spans="1:6">
      <c r="A1" s="18" t="s">
        <v>436</v>
      </c>
      <c r="B1" s="18" t="s">
        <v>546</v>
      </c>
      <c r="C1" s="18" t="s">
        <v>437</v>
      </c>
      <c r="D1" s="18" t="s">
        <v>547</v>
      </c>
      <c r="E1" s="18" t="s">
        <v>548</v>
      </c>
      <c r="F1" s="18" t="s">
        <v>2</v>
      </c>
    </row>
    <row r="2" spans="1:6" ht="17.399999999999999" customHeight="1">
      <c r="A2" s="19" t="s">
        <v>549</v>
      </c>
      <c r="B2" s="19" t="s">
        <v>550</v>
      </c>
      <c r="C2" s="19" t="s">
        <v>551</v>
      </c>
      <c r="D2" s="19" t="s">
        <v>552</v>
      </c>
      <c r="E2" s="19" t="s">
        <v>553</v>
      </c>
      <c r="F2" s="19" t="s">
        <v>554</v>
      </c>
    </row>
    <row r="3" spans="1:6" ht="17.399999999999999" customHeight="1">
      <c r="A3" s="19" t="s">
        <v>555</v>
      </c>
      <c r="B3" s="19" t="s">
        <v>550</v>
      </c>
      <c r="C3" s="19" t="s">
        <v>556</v>
      </c>
      <c r="D3" s="19" t="s">
        <v>552</v>
      </c>
      <c r="E3" s="19" t="s">
        <v>557</v>
      </c>
      <c r="F3" s="19" t="s">
        <v>554</v>
      </c>
    </row>
    <row r="4" spans="1:6" ht="17.399999999999999" customHeight="1">
      <c r="A4" s="19" t="s">
        <v>558</v>
      </c>
      <c r="B4" s="19" t="s">
        <v>559</v>
      </c>
      <c r="C4" s="19" t="s">
        <v>560</v>
      </c>
      <c r="D4" s="19" t="s">
        <v>561</v>
      </c>
      <c r="E4" s="19" t="s">
        <v>562</v>
      </c>
      <c r="F4" s="19" t="s">
        <v>554</v>
      </c>
    </row>
    <row r="5" spans="1:6" ht="17.399999999999999" customHeight="1">
      <c r="A5" s="19" t="s">
        <v>444</v>
      </c>
      <c r="B5" s="19" t="s">
        <v>563</v>
      </c>
      <c r="C5" s="19" t="s">
        <v>564</v>
      </c>
      <c r="D5" s="19" t="s">
        <v>561</v>
      </c>
      <c r="E5" s="19" t="s">
        <v>565</v>
      </c>
      <c r="F5" s="19" t="s">
        <v>554</v>
      </c>
    </row>
    <row r="6" spans="1:6" ht="17.399999999999999" customHeight="1">
      <c r="A6" s="19" t="s">
        <v>566</v>
      </c>
      <c r="B6" s="19" t="s">
        <v>567</v>
      </c>
      <c r="C6" s="19" t="s">
        <v>568</v>
      </c>
      <c r="D6" s="19" t="s">
        <v>569</v>
      </c>
      <c r="E6" s="19" t="s">
        <v>570</v>
      </c>
      <c r="F6" s="19" t="s">
        <v>554</v>
      </c>
    </row>
    <row r="7" spans="1:6" ht="17.399999999999999" customHeight="1">
      <c r="A7" s="19" t="s">
        <v>571</v>
      </c>
      <c r="B7" s="19" t="s">
        <v>572</v>
      </c>
      <c r="C7" s="19" t="s">
        <v>573</v>
      </c>
      <c r="D7" s="19" t="s">
        <v>574</v>
      </c>
      <c r="E7" s="19" t="s">
        <v>575</v>
      </c>
      <c r="F7" s="19" t="s">
        <v>554</v>
      </c>
    </row>
    <row r="8" spans="1:6" ht="17.399999999999999" customHeight="1">
      <c r="A8" s="19" t="s">
        <v>576</v>
      </c>
      <c r="B8" s="19" t="s">
        <v>577</v>
      </c>
      <c r="C8" s="19" t="s">
        <v>578</v>
      </c>
      <c r="D8" s="19" t="s">
        <v>18</v>
      </c>
      <c r="E8" s="19" t="s">
        <v>579</v>
      </c>
      <c r="F8" s="19" t="s">
        <v>554</v>
      </c>
    </row>
    <row r="9" spans="1:6" ht="17.399999999999999" customHeight="1">
      <c r="A9" s="19" t="s">
        <v>580</v>
      </c>
      <c r="B9" s="19" t="s">
        <v>581</v>
      </c>
      <c r="C9" s="19" t="s">
        <v>582</v>
      </c>
      <c r="D9" s="19" t="s">
        <v>583</v>
      </c>
      <c r="E9" s="19" t="s">
        <v>584</v>
      </c>
      <c r="F9" s="19" t="s">
        <v>554</v>
      </c>
    </row>
    <row r="10" spans="1:6" ht="17.399999999999999" customHeight="1">
      <c r="A10" s="19" t="s">
        <v>585</v>
      </c>
      <c r="B10" s="19" t="s">
        <v>586</v>
      </c>
      <c r="C10" s="19" t="s">
        <v>587</v>
      </c>
      <c r="D10" s="19" t="s">
        <v>588</v>
      </c>
      <c r="E10" s="19" t="s">
        <v>589</v>
      </c>
      <c r="F10" s="19" t="s">
        <v>554</v>
      </c>
    </row>
    <row r="11" spans="1:6" ht="17.399999999999999" customHeight="1">
      <c r="A11" s="19" t="s">
        <v>590</v>
      </c>
      <c r="B11" s="19" t="s">
        <v>11</v>
      </c>
      <c r="C11" s="19" t="s">
        <v>591</v>
      </c>
      <c r="D11" s="19" t="s">
        <v>592</v>
      </c>
      <c r="E11" s="19" t="s">
        <v>593</v>
      </c>
      <c r="F11" s="19" t="s">
        <v>554</v>
      </c>
    </row>
    <row r="12" spans="1:6" ht="17.399999999999999" customHeight="1">
      <c r="A12" s="19" t="s">
        <v>477</v>
      </c>
      <c r="B12" s="19" t="s">
        <v>11</v>
      </c>
      <c r="C12" s="19" t="s">
        <v>591</v>
      </c>
      <c r="D12" s="19" t="s">
        <v>594</v>
      </c>
      <c r="E12" s="19" t="s">
        <v>595</v>
      </c>
      <c r="F12" s="19" t="s">
        <v>554</v>
      </c>
    </row>
    <row r="13" spans="1:6" ht="30.75" customHeight="1">
      <c r="A13" s="3" t="s">
        <v>596</v>
      </c>
      <c r="B13" s="3" t="s">
        <v>597</v>
      </c>
      <c r="C13" s="3" t="s">
        <v>598</v>
      </c>
      <c r="D13" s="3" t="s">
        <v>599</v>
      </c>
      <c r="E13" s="3" t="s">
        <v>600</v>
      </c>
      <c r="F13" s="3" t="s">
        <v>554</v>
      </c>
    </row>
    <row r="14" spans="1:6" ht="36.75" customHeight="1">
      <c r="A14" s="3" t="s">
        <v>656</v>
      </c>
      <c r="B14" s="3" t="s">
        <v>657</v>
      </c>
      <c r="C14" s="3" t="s">
        <v>658</v>
      </c>
      <c r="D14" s="3" t="s">
        <v>659</v>
      </c>
      <c r="E14" s="3" t="s">
        <v>660</v>
      </c>
      <c r="F14" s="3" t="s">
        <v>554</v>
      </c>
    </row>
    <row r="15" spans="1:6" ht="36.75" customHeight="1">
      <c r="A15" s="3" t="s">
        <v>661</v>
      </c>
      <c r="B15" s="3" t="s">
        <v>662</v>
      </c>
      <c r="C15" s="3" t="s">
        <v>663</v>
      </c>
      <c r="D15" s="3" t="s">
        <v>664</v>
      </c>
      <c r="E15" s="3" t="s">
        <v>665</v>
      </c>
      <c r="F15" s="3" t="s">
        <v>554</v>
      </c>
    </row>
    <row r="16" spans="1:6" ht="38.4" customHeight="1">
      <c r="A16" s="1" t="s">
        <v>666</v>
      </c>
      <c r="B16" s="1" t="s">
        <v>667</v>
      </c>
      <c r="C16" s="1" t="s">
        <v>668</v>
      </c>
      <c r="D16" s="1" t="s">
        <v>669</v>
      </c>
      <c r="E16" s="1" t="s">
        <v>670</v>
      </c>
      <c r="F16" s="1" t="s">
        <v>554</v>
      </c>
    </row>
    <row r="17" spans="1:6" ht="38.4" customHeight="1">
      <c r="A17" s="1" t="s">
        <v>671</v>
      </c>
      <c r="B17" s="1" t="s">
        <v>672</v>
      </c>
      <c r="C17" s="1" t="s">
        <v>673</v>
      </c>
      <c r="D17" s="1" t="s">
        <v>674</v>
      </c>
      <c r="E17" s="1" t="s">
        <v>675</v>
      </c>
      <c r="F17" s="1" t="s">
        <v>676</v>
      </c>
    </row>
    <row r="18" spans="1:6" ht="38.4" customHeight="1">
      <c r="A18" s="3" t="s">
        <v>677</v>
      </c>
      <c r="B18" s="3" t="s">
        <v>678</v>
      </c>
      <c r="C18" s="3" t="s">
        <v>679</v>
      </c>
      <c r="D18" s="3" t="s">
        <v>680</v>
      </c>
      <c r="E18" s="3" t="s">
        <v>681</v>
      </c>
      <c r="F18" s="3" t="s">
        <v>554</v>
      </c>
    </row>
    <row r="19" spans="1:6" ht="38.4" customHeight="1">
      <c r="A19" s="3" t="s">
        <v>682</v>
      </c>
      <c r="B19" s="3" t="s">
        <v>683</v>
      </c>
      <c r="C19" s="3" t="s">
        <v>684</v>
      </c>
      <c r="D19" s="3" t="s">
        <v>685</v>
      </c>
      <c r="E19" s="3" t="s">
        <v>686</v>
      </c>
      <c r="F19" s="3" t="s">
        <v>554</v>
      </c>
    </row>
    <row r="20" spans="1:6" ht="38.4" customHeight="1">
      <c r="A20" s="3" t="s">
        <v>687</v>
      </c>
      <c r="B20" s="3" t="s">
        <v>688</v>
      </c>
      <c r="C20" s="3" t="s">
        <v>689</v>
      </c>
      <c r="D20" s="3" t="s">
        <v>690</v>
      </c>
      <c r="E20" s="3" t="s">
        <v>691</v>
      </c>
      <c r="F20" s="3" t="s">
        <v>554</v>
      </c>
    </row>
    <row r="21" spans="1:6" ht="41.55" customHeight="1">
      <c r="A21" s="1" t="s">
        <v>692</v>
      </c>
      <c r="B21" s="1" t="s">
        <v>693</v>
      </c>
      <c r="C21" s="1" t="s">
        <v>694</v>
      </c>
      <c r="D21" s="1" t="s">
        <v>695</v>
      </c>
      <c r="E21" s="1" t="s">
        <v>696</v>
      </c>
      <c r="F21" s="1" t="s">
        <v>554</v>
      </c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21"/>
  <sheetViews>
    <sheetView workbookViewId="0"/>
  </sheetViews>
  <sheetFormatPr defaultRowHeight="13.8"/>
  <cols>
    <col min="1" max="1" width="10" customWidth="1"/>
    <col min="2" max="2" width="12" customWidth="1"/>
    <col min="3" max="3" width="24" customWidth="1"/>
    <col min="4" max="4" width="25" customWidth="1"/>
    <col min="5" max="5" width="28" customWidth="1"/>
    <col min="6" max="6" width="64" customWidth="1"/>
    <col min="7" max="7" width="50" customWidth="1"/>
    <col min="8" max="8" width="70" customWidth="1"/>
    <col min="9" max="9" width="14" customWidth="1"/>
  </cols>
  <sheetData>
    <row r="1" spans="1:9" ht="27.6">
      <c r="A1" s="22" t="s">
        <v>697</v>
      </c>
      <c r="B1" s="22" t="s">
        <v>481</v>
      </c>
      <c r="C1" s="22" t="s">
        <v>483</v>
      </c>
      <c r="D1" s="22" t="s">
        <v>698</v>
      </c>
      <c r="E1" s="22" t="s">
        <v>338</v>
      </c>
      <c r="F1" s="22" t="s">
        <v>699</v>
      </c>
      <c r="G1" s="22" t="s">
        <v>700</v>
      </c>
      <c r="H1" s="22" t="s">
        <v>701</v>
      </c>
      <c r="I1" s="22" t="s">
        <v>2</v>
      </c>
    </row>
    <row r="2" spans="1:9" ht="27.6">
      <c r="A2" s="3" t="s">
        <v>84</v>
      </c>
      <c r="B2" s="3" t="s">
        <v>486</v>
      </c>
      <c r="C2" s="3" t="s">
        <v>66</v>
      </c>
      <c r="D2" s="3" t="s">
        <v>486</v>
      </c>
      <c r="E2" s="3" t="s">
        <v>702</v>
      </c>
      <c r="F2" s="3" t="s">
        <v>703</v>
      </c>
      <c r="G2" s="3" t="s">
        <v>704</v>
      </c>
      <c r="H2" s="3" t="s">
        <v>705</v>
      </c>
      <c r="I2" s="3" t="s">
        <v>8</v>
      </c>
    </row>
    <row r="3" spans="1:9" ht="27.6">
      <c r="A3" s="3" t="s">
        <v>84</v>
      </c>
      <c r="B3" s="3" t="s">
        <v>340</v>
      </c>
      <c r="C3" s="3" t="s">
        <v>66</v>
      </c>
      <c r="D3" s="3" t="s">
        <v>486</v>
      </c>
      <c r="E3" s="3" t="s">
        <v>706</v>
      </c>
      <c r="F3" s="3" t="s">
        <v>707</v>
      </c>
      <c r="G3" s="3" t="s">
        <v>704</v>
      </c>
      <c r="H3" s="3" t="s">
        <v>708</v>
      </c>
      <c r="I3" s="3" t="s">
        <v>8</v>
      </c>
    </row>
    <row r="4" spans="1:9" ht="27.6">
      <c r="A4" s="3" t="s">
        <v>84</v>
      </c>
      <c r="B4" s="3" t="s">
        <v>306</v>
      </c>
      <c r="C4" s="3" t="s">
        <v>92</v>
      </c>
      <c r="D4" s="3" t="s">
        <v>340</v>
      </c>
      <c r="E4" s="3" t="s">
        <v>344</v>
      </c>
      <c r="F4" s="3" t="s">
        <v>709</v>
      </c>
      <c r="G4" s="3" t="s">
        <v>710</v>
      </c>
      <c r="H4" s="3" t="s">
        <v>711</v>
      </c>
      <c r="I4" s="3" t="s">
        <v>8</v>
      </c>
    </row>
    <row r="5" spans="1:9" ht="27.6">
      <c r="A5" s="3" t="s">
        <v>105</v>
      </c>
      <c r="B5" s="3" t="s">
        <v>493</v>
      </c>
      <c r="C5" s="3" t="s">
        <v>92</v>
      </c>
      <c r="D5" s="3" t="s">
        <v>493</v>
      </c>
      <c r="E5" s="3" t="s">
        <v>712</v>
      </c>
      <c r="F5" s="3" t="s">
        <v>713</v>
      </c>
      <c r="G5" s="3" t="s">
        <v>714</v>
      </c>
      <c r="H5" s="3" t="s">
        <v>715</v>
      </c>
      <c r="I5" s="3" t="s">
        <v>8</v>
      </c>
    </row>
    <row r="6" spans="1:9" ht="27.6">
      <c r="A6" s="3" t="s">
        <v>105</v>
      </c>
      <c r="B6" s="3" t="s">
        <v>496</v>
      </c>
      <c r="C6" s="3" t="s">
        <v>92</v>
      </c>
      <c r="D6" s="3" t="s">
        <v>716</v>
      </c>
      <c r="E6" s="3" t="s">
        <v>717</v>
      </c>
      <c r="F6" s="3" t="s">
        <v>718</v>
      </c>
      <c r="G6" s="3" t="s">
        <v>714</v>
      </c>
      <c r="H6" s="3" t="s">
        <v>719</v>
      </c>
      <c r="I6" s="3" t="s">
        <v>8</v>
      </c>
    </row>
    <row r="7" spans="1:9" ht="27.6">
      <c r="A7" s="3" t="s">
        <v>105</v>
      </c>
      <c r="B7" s="3" t="s">
        <v>498</v>
      </c>
      <c r="C7" s="3" t="s">
        <v>92</v>
      </c>
      <c r="D7" s="3" t="s">
        <v>720</v>
      </c>
      <c r="E7" s="3" t="s">
        <v>721</v>
      </c>
      <c r="F7" s="3" t="s">
        <v>722</v>
      </c>
      <c r="G7" s="3" t="s">
        <v>714</v>
      </c>
      <c r="H7" s="3" t="s">
        <v>723</v>
      </c>
      <c r="I7" s="3" t="s">
        <v>8</v>
      </c>
    </row>
    <row r="8" spans="1:9" ht="27.6">
      <c r="A8" s="3" t="s">
        <v>105</v>
      </c>
      <c r="B8" s="3" t="s">
        <v>346</v>
      </c>
      <c r="C8" s="3" t="s">
        <v>92</v>
      </c>
      <c r="D8" s="3" t="s">
        <v>724</v>
      </c>
      <c r="E8" s="3" t="s">
        <v>725</v>
      </c>
      <c r="F8" s="3" t="s">
        <v>726</v>
      </c>
      <c r="G8" s="3" t="s">
        <v>714</v>
      </c>
      <c r="H8" s="3" t="s">
        <v>727</v>
      </c>
      <c r="I8" s="3" t="s">
        <v>8</v>
      </c>
    </row>
    <row r="9" spans="1:9">
      <c r="A9" s="3" t="s">
        <v>105</v>
      </c>
      <c r="B9" s="3" t="s">
        <v>291</v>
      </c>
      <c r="C9" s="3" t="s">
        <v>95</v>
      </c>
      <c r="D9" s="3" t="s">
        <v>346</v>
      </c>
      <c r="E9" s="3" t="s">
        <v>350</v>
      </c>
      <c r="F9" s="3" t="s">
        <v>728</v>
      </c>
      <c r="G9" s="3" t="s">
        <v>729</v>
      </c>
      <c r="H9" s="3" t="s">
        <v>730</v>
      </c>
      <c r="I9" s="3" t="s">
        <v>8</v>
      </c>
    </row>
    <row r="10" spans="1:9">
      <c r="A10" s="3" t="s">
        <v>105</v>
      </c>
      <c r="B10" s="3" t="s">
        <v>503</v>
      </c>
      <c r="C10" s="3" t="s">
        <v>92</v>
      </c>
      <c r="D10" s="3" t="s">
        <v>503</v>
      </c>
      <c r="E10" s="3" t="s">
        <v>731</v>
      </c>
      <c r="F10" s="3" t="s">
        <v>732</v>
      </c>
      <c r="G10" s="3" t="s">
        <v>714</v>
      </c>
      <c r="H10" s="3" t="s">
        <v>733</v>
      </c>
      <c r="I10" s="3" t="s">
        <v>8</v>
      </c>
    </row>
    <row r="11" spans="1:9">
      <c r="A11" s="3" t="s">
        <v>116</v>
      </c>
      <c r="B11" s="3" t="s">
        <v>317</v>
      </c>
      <c r="C11" s="3" t="s">
        <v>92</v>
      </c>
      <c r="D11" s="3" t="s">
        <v>317</v>
      </c>
      <c r="E11" s="3" t="s">
        <v>734</v>
      </c>
      <c r="F11" s="3" t="s">
        <v>735</v>
      </c>
      <c r="G11" s="3" t="s">
        <v>736</v>
      </c>
      <c r="H11" s="3" t="s">
        <v>737</v>
      </c>
      <c r="I11" s="3" t="s">
        <v>8</v>
      </c>
    </row>
    <row r="12" spans="1:9" ht="27.6">
      <c r="A12" s="3" t="s">
        <v>116</v>
      </c>
      <c r="B12" s="3" t="s">
        <v>356</v>
      </c>
      <c r="C12" s="3" t="s">
        <v>95</v>
      </c>
      <c r="D12" s="3" t="s">
        <v>738</v>
      </c>
      <c r="E12" s="3" t="s">
        <v>739</v>
      </c>
      <c r="F12" s="3" t="s">
        <v>740</v>
      </c>
      <c r="G12" s="3" t="s">
        <v>741</v>
      </c>
      <c r="H12" s="3" t="s">
        <v>742</v>
      </c>
      <c r="I12" s="3" t="s">
        <v>8</v>
      </c>
    </row>
    <row r="13" spans="1:9" ht="27.6">
      <c r="A13" s="3" t="s">
        <v>116</v>
      </c>
      <c r="B13" s="3" t="s">
        <v>286</v>
      </c>
      <c r="C13" s="3" t="s">
        <v>98</v>
      </c>
      <c r="D13" s="3" t="s">
        <v>356</v>
      </c>
      <c r="E13" s="3" t="s">
        <v>360</v>
      </c>
      <c r="F13" s="3" t="s">
        <v>743</v>
      </c>
      <c r="G13" s="3" t="s">
        <v>744</v>
      </c>
      <c r="H13" s="3" t="s">
        <v>745</v>
      </c>
      <c r="I13" s="3" t="s">
        <v>8</v>
      </c>
    </row>
    <row r="14" spans="1:9" ht="27.6">
      <c r="A14" s="3" t="s">
        <v>116</v>
      </c>
      <c r="B14" s="3" t="s">
        <v>510</v>
      </c>
      <c r="C14" s="3" t="s">
        <v>95</v>
      </c>
      <c r="D14" s="3" t="s">
        <v>286</v>
      </c>
      <c r="E14" s="3" t="s">
        <v>746</v>
      </c>
      <c r="F14" s="3" t="s">
        <v>747</v>
      </c>
      <c r="G14" s="3" t="s">
        <v>741</v>
      </c>
      <c r="H14" s="3" t="s">
        <v>748</v>
      </c>
      <c r="I14" s="3" t="s">
        <v>8</v>
      </c>
    </row>
    <row r="15" spans="1:9">
      <c r="A15" s="3" t="s">
        <v>116</v>
      </c>
      <c r="B15" s="3" t="s">
        <v>512</v>
      </c>
      <c r="C15" s="3" t="s">
        <v>95</v>
      </c>
      <c r="D15" s="3" t="s">
        <v>512</v>
      </c>
      <c r="E15" s="3" t="s">
        <v>749</v>
      </c>
      <c r="F15" s="3" t="s">
        <v>750</v>
      </c>
      <c r="G15" s="3" t="s">
        <v>741</v>
      </c>
      <c r="H15" s="3" t="s">
        <v>751</v>
      </c>
      <c r="I15" s="3" t="s">
        <v>8</v>
      </c>
    </row>
    <row r="16" spans="1:9">
      <c r="A16" s="3" t="s">
        <v>121</v>
      </c>
      <c r="B16" s="3" t="s">
        <v>514</v>
      </c>
      <c r="C16" s="3" t="s">
        <v>66</v>
      </c>
      <c r="D16" s="3" t="s">
        <v>514</v>
      </c>
      <c r="E16" s="3" t="s">
        <v>752</v>
      </c>
      <c r="F16" s="3" t="s">
        <v>753</v>
      </c>
      <c r="G16" s="3" t="s">
        <v>754</v>
      </c>
      <c r="H16" s="3" t="s">
        <v>755</v>
      </c>
      <c r="I16" s="3" t="s">
        <v>8</v>
      </c>
    </row>
    <row r="17" spans="1:9">
      <c r="A17" s="3" t="s">
        <v>121</v>
      </c>
      <c r="B17" s="3" t="s">
        <v>517</v>
      </c>
      <c r="C17" s="3" t="s">
        <v>66</v>
      </c>
      <c r="D17" s="3" t="s">
        <v>517</v>
      </c>
      <c r="E17" s="3" t="s">
        <v>756</v>
      </c>
      <c r="F17" s="3" t="s">
        <v>753</v>
      </c>
      <c r="G17" s="3" t="s">
        <v>754</v>
      </c>
      <c r="H17" s="3" t="s">
        <v>757</v>
      </c>
      <c r="I17" s="3" t="s">
        <v>8</v>
      </c>
    </row>
    <row r="18" spans="1:9">
      <c r="A18" s="3" t="s">
        <v>121</v>
      </c>
      <c r="B18" s="3" t="s">
        <v>519</v>
      </c>
      <c r="C18" s="3" t="s">
        <v>66</v>
      </c>
      <c r="D18" s="3" t="s">
        <v>519</v>
      </c>
      <c r="E18" s="3" t="s">
        <v>758</v>
      </c>
      <c r="F18" s="3" t="s">
        <v>753</v>
      </c>
      <c r="G18" s="3" t="s">
        <v>754</v>
      </c>
      <c r="H18" s="3" t="s">
        <v>759</v>
      </c>
      <c r="I18" s="3" t="s">
        <v>8</v>
      </c>
    </row>
    <row r="19" spans="1:9">
      <c r="A19" s="3" t="s">
        <v>121</v>
      </c>
      <c r="B19" s="3" t="s">
        <v>521</v>
      </c>
      <c r="C19" s="3" t="s">
        <v>66</v>
      </c>
      <c r="D19" s="3" t="s">
        <v>521</v>
      </c>
      <c r="E19" s="3" t="s">
        <v>760</v>
      </c>
      <c r="F19" s="3" t="s">
        <v>753</v>
      </c>
      <c r="G19" s="3" t="s">
        <v>754</v>
      </c>
      <c r="H19" s="3" t="s">
        <v>761</v>
      </c>
      <c r="I19" s="3" t="s">
        <v>8</v>
      </c>
    </row>
    <row r="20" spans="1:9" ht="27.6">
      <c r="A20" s="3" t="s">
        <v>121</v>
      </c>
      <c r="B20" s="3" t="s">
        <v>302</v>
      </c>
      <c r="C20" s="3" t="s">
        <v>95</v>
      </c>
      <c r="D20" s="3" t="s">
        <v>302</v>
      </c>
      <c r="E20" s="3" t="s">
        <v>365</v>
      </c>
      <c r="F20" s="3" t="s">
        <v>762</v>
      </c>
      <c r="G20" s="3" t="s">
        <v>763</v>
      </c>
      <c r="H20" s="3" t="s">
        <v>764</v>
      </c>
      <c r="I20" s="3" t="s">
        <v>8</v>
      </c>
    </row>
    <row r="21" spans="1:9">
      <c r="A21" s="3" t="s">
        <v>121</v>
      </c>
      <c r="B21" s="3" t="s">
        <v>524</v>
      </c>
      <c r="C21" s="3" t="s">
        <v>66</v>
      </c>
      <c r="D21" s="3" t="s">
        <v>524</v>
      </c>
      <c r="E21" s="3" t="s">
        <v>765</v>
      </c>
      <c r="F21" s="3" t="s">
        <v>753</v>
      </c>
      <c r="G21" s="3" t="s">
        <v>754</v>
      </c>
      <c r="H21" s="3" t="s">
        <v>766</v>
      </c>
      <c r="I21" s="3" t="s">
        <v>8</v>
      </c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5"/>
  <sheetViews>
    <sheetView tabSelected="1" workbookViewId="0"/>
  </sheetViews>
  <sheetFormatPr defaultRowHeight="13.8"/>
  <cols>
    <col min="1" max="1" width="10" customWidth="1"/>
    <col min="2" max="2" width="55" customWidth="1"/>
    <col min="3" max="3" width="22" customWidth="1"/>
    <col min="4" max="5" width="70" customWidth="1"/>
    <col min="6" max="6" width="32" customWidth="1"/>
    <col min="7" max="7" width="28" customWidth="1"/>
  </cols>
  <sheetData>
    <row r="1" spans="1:7">
      <c r="A1" s="24" t="s">
        <v>525</v>
      </c>
      <c r="B1" s="24" t="s">
        <v>276</v>
      </c>
      <c r="C1" s="24" t="s">
        <v>767</v>
      </c>
      <c r="D1" s="24" t="s">
        <v>768</v>
      </c>
      <c r="E1" s="24" t="s">
        <v>769</v>
      </c>
      <c r="F1" s="24" t="s">
        <v>770</v>
      </c>
      <c r="G1" s="24" t="s">
        <v>771</v>
      </c>
    </row>
    <row r="2" spans="1:7" ht="27.6">
      <c r="A2" s="3" t="s">
        <v>237</v>
      </c>
      <c r="B2" s="3" t="s">
        <v>239</v>
      </c>
      <c r="C2" s="3" t="s">
        <v>772</v>
      </c>
      <c r="D2" s="3" t="s">
        <v>773</v>
      </c>
      <c r="E2" s="3" t="s">
        <v>774</v>
      </c>
      <c r="F2" s="3" t="s">
        <v>775</v>
      </c>
      <c r="G2" s="3" t="s">
        <v>776</v>
      </c>
    </row>
    <row r="3" spans="1:7" ht="27.6">
      <c r="A3" s="3" t="s">
        <v>261</v>
      </c>
      <c r="B3" s="3" t="s">
        <v>264</v>
      </c>
      <c r="C3" s="3" t="s">
        <v>777</v>
      </c>
      <c r="D3" s="3" t="s">
        <v>778</v>
      </c>
      <c r="E3" s="3" t="s">
        <v>779</v>
      </c>
      <c r="F3" s="3" t="s">
        <v>775</v>
      </c>
      <c r="G3" s="3" t="s">
        <v>776</v>
      </c>
    </row>
    <row r="4" spans="1:7" ht="27.6">
      <c r="A4" s="3" t="s">
        <v>269</v>
      </c>
      <c r="B4" s="3" t="s">
        <v>271</v>
      </c>
      <c r="C4" s="3" t="s">
        <v>777</v>
      </c>
      <c r="D4" s="3" t="s">
        <v>780</v>
      </c>
      <c r="E4" s="3" t="s">
        <v>781</v>
      </c>
      <c r="F4" s="3" t="s">
        <v>775</v>
      </c>
      <c r="G4" s="3" t="s">
        <v>776</v>
      </c>
    </row>
    <row r="5" spans="1:7" ht="27.6">
      <c r="A5" s="3" t="s">
        <v>272</v>
      </c>
      <c r="B5" s="3" t="s">
        <v>274</v>
      </c>
      <c r="C5" s="3" t="s">
        <v>777</v>
      </c>
      <c r="D5" s="3" t="s">
        <v>782</v>
      </c>
      <c r="E5" s="3" t="s">
        <v>781</v>
      </c>
      <c r="F5" s="3" t="s">
        <v>775</v>
      </c>
      <c r="G5" s="3" t="s">
        <v>776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14</vt:i4>
      </vt:variant>
    </vt:vector>
  </HeadingPairs>
  <TitlesOfParts>
    <vt:vector size="14" baseType="lpstr">
      <vt:lpstr>LEIA_PRIMEIRO</vt:lpstr>
      <vt:lpstr>Mapa_CNAE</vt:lpstr>
      <vt:lpstr>Industria_detalhada</vt:lpstr>
      <vt:lpstr>Correspondencia_NACE_CNAE</vt:lpstr>
      <vt:lpstr>Servicos_KIS_LKIS</vt:lpstr>
      <vt:lpstr>Recursos_naturais</vt:lpstr>
      <vt:lpstr>Fontes_auditoria</vt:lpstr>
      <vt:lpstr>Controle_auditoria</vt:lpstr>
      <vt:lpstr>Grupos_mistos_auditoria</vt:lpstr>
      <vt:lpstr>Denominacoes_IBGE</vt:lpstr>
      <vt:lpstr>Variantes_IBGE</vt:lpstr>
      <vt:lpstr>Reauditoria</vt:lpstr>
      <vt:lpstr>Crosswalk_completo_mistos</vt:lpstr>
      <vt:lpstr>Diferencas_CGEE_TCC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2026-09-12T09:28:50Z</dcterms:created>
  <dcterms:modified xsi:type="dcterms:W3CDTF">2026-09-12T09:28:51Z</dcterms:modified>
</cp:coreProperties>
</file>